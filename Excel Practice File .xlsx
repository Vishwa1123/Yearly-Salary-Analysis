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ATA SCIENCE\Excel Workshop\"/>
    </mc:Choice>
  </mc:AlternateContent>
  <bookViews>
    <workbookView xWindow="0" yWindow="0" windowWidth="23040" windowHeight="8688" tabRatio="750"/>
  </bookViews>
  <sheets>
    <sheet name="Basics" sheetId="1" r:id="rId1"/>
    <sheet name="Advance Excel" sheetId="2" r:id="rId2"/>
    <sheet name="Vlookup Diffrent Sheet" sheetId="3" r:id="rId3"/>
    <sheet name="Vlookup To Handle Error" sheetId="6" r:id="rId4"/>
    <sheet name="Xlookup" sheetId="4" r:id="rId5"/>
    <sheet name="Filter" sheetId="5" r:id="rId6"/>
    <sheet name="Sheet1" sheetId="8" r:id="rId7"/>
    <sheet name="Sheet3" sheetId="10" r:id="rId8"/>
    <sheet name="Sheet4" sheetId="11" r:id="rId9"/>
    <sheet name="Pivot Table and DashBoard" sheetId="7" r:id="rId10"/>
  </sheets>
  <definedNames>
    <definedName name="chetan">'Advance Excel'!$A$1:$H$18</definedName>
    <definedName name="Slicer_Department">#N/A</definedName>
    <definedName name="trialnerror">'Advance Excel'!$B$2:$I$18</definedName>
  </definedNames>
  <calcPr calcId="152511"/>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 r="I8" i="1"/>
  <c r="I9" i="1"/>
  <c r="I10" i="1"/>
  <c r="E20" i="3" l="1"/>
  <c r="E21" i="3"/>
  <c r="E22" i="3"/>
  <c r="E23" i="3"/>
  <c r="E24" i="3"/>
  <c r="E25" i="3"/>
  <c r="E26" i="3"/>
  <c r="E27" i="3"/>
  <c r="E28" i="3"/>
  <c r="E29" i="3"/>
  <c r="E19" i="3"/>
  <c r="E10" i="8"/>
  <c r="E11" i="8"/>
  <c r="E12" i="8"/>
  <c r="E13" i="8"/>
  <c r="E14" i="8"/>
  <c r="E15" i="8"/>
  <c r="E16" i="8"/>
  <c r="E9" i="8"/>
  <c r="D10" i="8"/>
  <c r="D11" i="8"/>
  <c r="D12" i="8"/>
  <c r="D13" i="8"/>
  <c r="D14" i="8"/>
  <c r="D15" i="8"/>
  <c r="D16" i="8"/>
  <c r="D9" i="8"/>
  <c r="D39" i="2"/>
  <c r="D40" i="2"/>
  <c r="D41" i="2"/>
  <c r="D42" i="2"/>
  <c r="D43" i="2"/>
  <c r="D44" i="2"/>
  <c r="D45" i="2"/>
  <c r="D46" i="2"/>
  <c r="D47" i="2"/>
  <c r="D48" i="2"/>
  <c r="D38" i="2"/>
  <c r="E5" i="3"/>
  <c r="E6" i="3"/>
  <c r="E7" i="3"/>
  <c r="E8" i="3"/>
  <c r="E9" i="3"/>
  <c r="E10" i="3"/>
  <c r="E11" i="3"/>
  <c r="E12" i="3"/>
  <c r="E13" i="3"/>
  <c r="E14" i="3"/>
  <c r="E15" i="3"/>
  <c r="E4" i="3"/>
  <c r="D23" i="2"/>
  <c r="I3" i="2"/>
  <c r="I4" i="2"/>
  <c r="I5" i="2"/>
  <c r="I6" i="2"/>
  <c r="I7" i="2"/>
  <c r="I8" i="2"/>
  <c r="I9" i="2"/>
  <c r="I10" i="2"/>
  <c r="I11" i="2"/>
  <c r="I12" i="2"/>
  <c r="I13" i="2"/>
  <c r="I14" i="2"/>
  <c r="I15" i="2"/>
  <c r="I16" i="2"/>
  <c r="I17" i="2"/>
  <c r="I18" i="2"/>
  <c r="I2" i="2"/>
  <c r="D33" i="2"/>
  <c r="D34" i="2"/>
  <c r="D24" i="2"/>
  <c r="D25" i="2"/>
  <c r="D26" i="2"/>
  <c r="D27" i="2"/>
  <c r="D28" i="2"/>
  <c r="D29" i="2"/>
  <c r="D30" i="2"/>
  <c r="D31" i="2"/>
  <c r="D32" i="2"/>
  <c r="I6" i="1"/>
  <c r="D32" i="1"/>
  <c r="C32" i="1"/>
  <c r="D23" i="4"/>
  <c r="D24" i="4"/>
  <c r="D27" i="4"/>
  <c r="D30" i="4"/>
  <c r="D33" i="4"/>
  <c r="D28" i="4"/>
  <c r="D32" i="4"/>
  <c r="D34" i="4"/>
  <c r="D29" i="4"/>
  <c r="D26" i="4"/>
  <c r="D31" i="4"/>
  <c r="D25" i="4"/>
</calcChain>
</file>

<file path=xl/sharedStrings.xml><?xml version="1.0" encoding="utf-8"?>
<sst xmlns="http://schemas.openxmlformats.org/spreadsheetml/2006/main" count="872" uniqueCount="129">
  <si>
    <t>Name</t>
  </si>
  <si>
    <t>Department</t>
  </si>
  <si>
    <t>Salary</t>
  </si>
  <si>
    <t>Bonus</t>
  </si>
  <si>
    <t>Email</t>
  </si>
  <si>
    <t>Joining Date</t>
  </si>
  <si>
    <t>City</t>
  </si>
  <si>
    <t>Rahul Kumar</t>
  </si>
  <si>
    <t>HR</t>
  </si>
  <si>
    <t>rahul.k@office.com</t>
  </si>
  <si>
    <t>Delhi</t>
  </si>
  <si>
    <t>Ankita Sharma</t>
  </si>
  <si>
    <t>Sales</t>
  </si>
  <si>
    <t>ankita.s@office.com</t>
  </si>
  <si>
    <t>Mumbai</t>
  </si>
  <si>
    <t>Mohit Verma</t>
  </si>
  <si>
    <t>Accounts</t>
  </si>
  <si>
    <t>mohit.v@office.com</t>
  </si>
  <si>
    <t>Jaipur</t>
  </si>
  <si>
    <t>Priya Singh</t>
  </si>
  <si>
    <t>Marketing</t>
  </si>
  <si>
    <t>priya.s@office.com</t>
  </si>
  <si>
    <t>Pune</t>
  </si>
  <si>
    <t>Sandeep Yadav</t>
  </si>
  <si>
    <t>Finance</t>
  </si>
  <si>
    <t>sandeep.y@office.com</t>
  </si>
  <si>
    <t>Noida</t>
  </si>
  <si>
    <t>Riya Mehta</t>
  </si>
  <si>
    <t>riya.m@office.com</t>
  </si>
  <si>
    <t>Lucknow</t>
  </si>
  <si>
    <t>Amit Tiwari</t>
  </si>
  <si>
    <t>Operations</t>
  </si>
  <si>
    <t>amit.t@office.com</t>
  </si>
  <si>
    <t>Indore</t>
  </si>
  <si>
    <t>Neha Kapoor</t>
  </si>
  <si>
    <t>neha.k@office.com</t>
  </si>
  <si>
    <t>Surat</t>
  </si>
  <si>
    <t>Arjun Rana</t>
  </si>
  <si>
    <t>arjun.r@office.com</t>
  </si>
  <si>
    <t>Bhopal</t>
  </si>
  <si>
    <t>Divya Chauhan</t>
  </si>
  <si>
    <t>divya.c@office.com</t>
  </si>
  <si>
    <t>Kanpur</t>
  </si>
  <si>
    <t>Karan Patel</t>
  </si>
  <si>
    <t>IT</t>
  </si>
  <si>
    <t>karan.p@office.com</t>
  </si>
  <si>
    <t>Ahmedabad</t>
  </si>
  <si>
    <t>Sneha Joshi</t>
  </si>
  <si>
    <t>sneha.j@office.com</t>
  </si>
  <si>
    <t>Nashik</t>
  </si>
  <si>
    <t>Rohit Malhotra</t>
  </si>
  <si>
    <t>rohit.m@office.com</t>
  </si>
  <si>
    <t>Chandigarh</t>
  </si>
  <si>
    <t>Megha Jain</t>
  </si>
  <si>
    <t>megha.j@office.com</t>
  </si>
  <si>
    <t>Harshit Gupta</t>
  </si>
  <si>
    <t>harshit.g@office.com</t>
  </si>
  <si>
    <t>Pooja Soni</t>
  </si>
  <si>
    <t>pooja.s@office.com</t>
  </si>
  <si>
    <t>Varun Singh</t>
  </si>
  <si>
    <t>varun.s@office.com</t>
  </si>
  <si>
    <t>Nikita Rao</t>
  </si>
  <si>
    <t>nikita.r@office.com</t>
  </si>
  <si>
    <t>Hyderabad</t>
  </si>
  <si>
    <t>Shivam Arora</t>
  </si>
  <si>
    <t>shivam.a@office.com</t>
  </si>
  <si>
    <t>Sonia Bansal</t>
  </si>
  <si>
    <t>sonia.b@office.com</t>
  </si>
  <si>
    <t>Yash Thakur</t>
  </si>
  <si>
    <t>yash.t@office.com</t>
  </si>
  <si>
    <t>Payal Deshmukh</t>
  </si>
  <si>
    <t>payal.d@office.com</t>
  </si>
  <si>
    <t>Abhishek Reddy</t>
  </si>
  <si>
    <t>abhishek.r@office.com</t>
  </si>
  <si>
    <t>Simran Kaur</t>
  </si>
  <si>
    <t>simran.k@office.com</t>
  </si>
  <si>
    <t>Deepak Jha</t>
  </si>
  <si>
    <t>deepak.j@office.com</t>
  </si>
  <si>
    <t>Shreya Shah</t>
  </si>
  <si>
    <t>shreya.s@office.com</t>
  </si>
  <si>
    <t>Manish Kumar</t>
  </si>
  <si>
    <t>manish.k@office.com</t>
  </si>
  <si>
    <t>Aarav Goel</t>
  </si>
  <si>
    <t>aarav.g@office.com</t>
  </si>
  <si>
    <t>Tanya Verma</t>
  </si>
  <si>
    <t>tanya.v@office.com</t>
  </si>
  <si>
    <t>Jay Mehta</t>
  </si>
  <si>
    <t>jay.m@office.com</t>
  </si>
  <si>
    <t>SUM</t>
  </si>
  <si>
    <t>AVERAGE</t>
  </si>
  <si>
    <t>COUNT</t>
  </si>
  <si>
    <t>COUNTA</t>
  </si>
  <si>
    <t>COUNTBLANK</t>
  </si>
  <si>
    <t>MIN</t>
  </si>
  <si>
    <t>MAX</t>
  </si>
  <si>
    <t>CONCATENATE</t>
  </si>
  <si>
    <t>LEFT</t>
  </si>
  <si>
    <t>RIGHT</t>
  </si>
  <si>
    <t>MID</t>
  </si>
  <si>
    <t>UPPER</t>
  </si>
  <si>
    <t>LOWER</t>
  </si>
  <si>
    <t>PROPER</t>
  </si>
  <si>
    <t>IF</t>
  </si>
  <si>
    <t>Basic Formulas</t>
  </si>
  <si>
    <t>EMP ID</t>
  </si>
  <si>
    <t>R1</t>
  </si>
  <si>
    <t>A2</t>
  </si>
  <si>
    <t>M3</t>
  </si>
  <si>
    <t>P4</t>
  </si>
  <si>
    <t>S5</t>
  </si>
  <si>
    <t>R6</t>
  </si>
  <si>
    <t>A7</t>
  </si>
  <si>
    <t>N8</t>
  </si>
  <si>
    <t>A9</t>
  </si>
  <si>
    <t>D10</t>
  </si>
  <si>
    <t>K11</t>
  </si>
  <si>
    <t>S12</t>
  </si>
  <si>
    <t>R13</t>
  </si>
  <si>
    <t>M14</t>
  </si>
  <si>
    <t>H15</t>
  </si>
  <si>
    <t>P16</t>
  </si>
  <si>
    <t>V17</t>
  </si>
  <si>
    <t>Name Of Employees</t>
  </si>
  <si>
    <t>Employees ID</t>
  </si>
  <si>
    <t>Conditional Formating</t>
  </si>
  <si>
    <t>Row Labels</t>
  </si>
  <si>
    <t>Sum of Salary</t>
  </si>
  <si>
    <t>Grand Total</t>
  </si>
  <si>
    <t>Count of Name</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</si>
</sst>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b/>
      <sz val="11"/>
      <color theme="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6" tint="-0.249977111117893"/>
        <bgColor indexed="64"/>
      </patternFill>
    </fill>
    <fill>
      <patternFill patternType="solid">
        <fgColor theme="5" tint="0.59999389629810485"/>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vertical="center"/>
    </xf>
    <xf numFmtId="0" fontId="2" fillId="0" borderId="0" xfId="1" applyAlignment="1">
      <alignment vertical="center"/>
    </xf>
    <xf numFmtId="14" fontId="0" fillId="0" borderId="0" xfId="0" applyNumberFormat="1" applyAlignment="1">
      <alignment vertical="center"/>
    </xf>
    <xf numFmtId="0" fontId="1" fillId="2" borderId="0" xfId="0" applyFont="1" applyFill="1" applyAlignment="1">
      <alignment horizontal="left" vertical="center"/>
    </xf>
    <xf numFmtId="0" fontId="0" fillId="0" borderId="1" xfId="0" applyBorder="1"/>
    <xf numFmtId="0" fontId="0" fillId="3" borderId="1" xfId="0" applyFill="1" applyBorder="1"/>
    <xf numFmtId="0" fontId="0" fillId="0" borderId="1" xfId="0" applyBorder="1" applyAlignment="1">
      <alignment vertical="center"/>
    </xf>
    <xf numFmtId="0" fontId="0" fillId="4" borderId="1" xfId="0" applyFill="1" applyBorder="1"/>
    <xf numFmtId="0" fontId="1" fillId="2" borderId="1"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cellXfs>
  <cellStyles count="2">
    <cellStyle name="Hyperlink" xfId="1" builtinId="8"/>
    <cellStyle name="Normal" xfId="0" builtinId="0"/>
  </cellStyles>
  <dxfs count="1">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File .xlsx]Sheet3!PivotTable5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Sheet3!$A$4:$A$18</c:f>
              <c:strCache>
                <c:ptCount val="14"/>
                <c:pt idx="0">
                  <c:v>Ahmedabad</c:v>
                </c:pt>
                <c:pt idx="1">
                  <c:v>Bhopal</c:v>
                </c:pt>
                <c:pt idx="2">
                  <c:v>Chandigarh</c:v>
                </c:pt>
                <c:pt idx="3">
                  <c:v>Delhi</c:v>
                </c:pt>
                <c:pt idx="4">
                  <c:v>Hyderabad</c:v>
                </c:pt>
                <c:pt idx="5">
                  <c:v>Indore</c:v>
                </c:pt>
                <c:pt idx="6">
                  <c:v>Jaipur</c:v>
                </c:pt>
                <c:pt idx="7">
                  <c:v>Kanpur</c:v>
                </c:pt>
                <c:pt idx="8">
                  <c:v>Lucknow</c:v>
                </c:pt>
                <c:pt idx="9">
                  <c:v>Mumbai</c:v>
                </c:pt>
                <c:pt idx="10">
                  <c:v>Nashik</c:v>
                </c:pt>
                <c:pt idx="11">
                  <c:v>Noida</c:v>
                </c:pt>
                <c:pt idx="12">
                  <c:v>Pune</c:v>
                </c:pt>
                <c:pt idx="13">
                  <c:v>Surat</c:v>
                </c:pt>
              </c:strCache>
            </c:strRef>
          </c:cat>
          <c:val>
            <c:numRef>
              <c:f>Sheet3!$B$4:$B$18</c:f>
              <c:numCache>
                <c:formatCode>General</c:formatCode>
                <c:ptCount val="14"/>
                <c:pt idx="0">
                  <c:v>70500</c:v>
                </c:pt>
                <c:pt idx="1">
                  <c:v>58000</c:v>
                </c:pt>
                <c:pt idx="2">
                  <c:v>65000</c:v>
                </c:pt>
                <c:pt idx="3">
                  <c:v>137000</c:v>
                </c:pt>
                <c:pt idx="4">
                  <c:v>59500</c:v>
                </c:pt>
                <c:pt idx="5">
                  <c:v>72000</c:v>
                </c:pt>
                <c:pt idx="6">
                  <c:v>86000</c:v>
                </c:pt>
                <c:pt idx="7">
                  <c:v>29000</c:v>
                </c:pt>
                <c:pt idx="8">
                  <c:v>57000</c:v>
                </c:pt>
                <c:pt idx="9">
                  <c:v>95500</c:v>
                </c:pt>
                <c:pt idx="10">
                  <c:v>30500</c:v>
                </c:pt>
                <c:pt idx="11">
                  <c:v>32000</c:v>
                </c:pt>
                <c:pt idx="12">
                  <c:v>98000</c:v>
                </c:pt>
                <c:pt idx="13">
                  <c:v>67500</c:v>
                </c:pt>
              </c:numCache>
            </c:numRef>
          </c:val>
          <c:smooth val="0"/>
        </c:ser>
        <c:dLbls>
          <c:showLegendKey val="0"/>
          <c:showVal val="0"/>
          <c:showCatName val="0"/>
          <c:showSerName val="0"/>
          <c:showPercent val="0"/>
          <c:showBubbleSize val="0"/>
        </c:dLbls>
        <c:smooth val="0"/>
        <c:axId val="-615782320"/>
        <c:axId val="-615777968"/>
      </c:lineChart>
      <c:catAx>
        <c:axId val="-615782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77968"/>
        <c:crosses val="autoZero"/>
        <c:auto val="1"/>
        <c:lblAlgn val="ctr"/>
        <c:lblOffset val="100"/>
        <c:noMultiLvlLbl val="0"/>
      </c:catAx>
      <c:valAx>
        <c:axId val="-615777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Sum of Salary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82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File .xlsx]Sheet4!PivotTable7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Sheet4!$B$3</c:f>
              <c:strCache>
                <c:ptCount val="1"/>
                <c:pt idx="0">
                  <c:v>Sum of Salary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Sheet4!$A$4:$A$11</c:f>
              <c:strCache>
                <c:ptCount val="7"/>
                <c:pt idx="0">
                  <c:v>Accounts</c:v>
                </c:pt>
                <c:pt idx="1">
                  <c:v>Finance</c:v>
                </c:pt>
                <c:pt idx="2">
                  <c:v>HR</c:v>
                </c:pt>
                <c:pt idx="3">
                  <c:v>IT</c:v>
                </c:pt>
                <c:pt idx="4">
                  <c:v>Marketing</c:v>
                </c:pt>
                <c:pt idx="5">
                  <c:v>Operations</c:v>
                </c:pt>
                <c:pt idx="6">
                  <c:v>Sales</c:v>
                </c:pt>
              </c:strCache>
            </c:strRef>
          </c:cat>
          <c:val>
            <c:numRef>
              <c:f>Sheet4!$B$4:$B$11</c:f>
              <c:numCache>
                <c:formatCode>General</c:formatCode>
                <c:ptCount val="7"/>
                <c:pt idx="0">
                  <c:v>105000</c:v>
                </c:pt>
                <c:pt idx="1">
                  <c:v>131000</c:v>
                </c:pt>
                <c:pt idx="2">
                  <c:v>140000</c:v>
                </c:pt>
                <c:pt idx="3">
                  <c:v>162500</c:v>
                </c:pt>
                <c:pt idx="4">
                  <c:v>121000</c:v>
                </c:pt>
                <c:pt idx="5">
                  <c:v>123000</c:v>
                </c:pt>
                <c:pt idx="6">
                  <c:v>175000</c:v>
                </c:pt>
              </c:numCache>
            </c:numRef>
          </c:val>
        </c:ser>
        <c:ser>
          <c:idx val="1"/>
          <c:order val="1"/>
          <c:tx>
            <c:strRef>
              <c:f>Sheet4!$C$3</c:f>
              <c:strCache>
                <c:ptCount val="1"/>
                <c:pt idx="0">
                  <c:v>Count of Name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Sheet4!$A$4:$A$11</c:f>
              <c:strCache>
                <c:ptCount val="7"/>
                <c:pt idx="0">
                  <c:v>Accounts</c:v>
                </c:pt>
                <c:pt idx="1">
                  <c:v>Finance</c:v>
                </c:pt>
                <c:pt idx="2">
                  <c:v>HR</c:v>
                </c:pt>
                <c:pt idx="3">
                  <c:v>IT</c:v>
                </c:pt>
                <c:pt idx="4">
                  <c:v>Marketing</c:v>
                </c:pt>
                <c:pt idx="5">
                  <c:v>Operations</c:v>
                </c:pt>
                <c:pt idx="6">
                  <c:v>Sales</c:v>
                </c:pt>
              </c:strCache>
            </c:strRef>
          </c:cat>
          <c:val>
            <c:numRef>
              <c:f>Sheet4!$C$4:$C$11</c:f>
              <c:numCache>
                <c:formatCode>General</c:formatCode>
                <c:ptCount val="7"/>
                <c:pt idx="0">
                  <c:v>4</c:v>
                </c:pt>
                <c:pt idx="1">
                  <c:v>4</c:v>
                </c:pt>
                <c:pt idx="2">
                  <c:v>5</c:v>
                </c:pt>
                <c:pt idx="3">
                  <c:v>4</c:v>
                </c:pt>
                <c:pt idx="4">
                  <c:v>4</c:v>
                </c:pt>
                <c:pt idx="5">
                  <c:v>4</c:v>
                </c:pt>
                <c:pt idx="6">
                  <c:v>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137160</xdr:colOff>
      <xdr:row>4</xdr:row>
      <xdr:rowOff>99060</xdr:rowOff>
    </xdr:from>
    <xdr:to>
      <xdr:col>11</xdr:col>
      <xdr:colOff>15240</xdr:colOff>
      <xdr:row>20</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45720</xdr:colOff>
      <xdr:row>0</xdr:row>
      <xdr:rowOff>0</xdr:rowOff>
    </xdr:from>
    <xdr:to>
      <xdr:col>8</xdr:col>
      <xdr:colOff>502920</xdr:colOff>
      <xdr:row>4</xdr:row>
      <xdr:rowOff>45720</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90900" y="0"/>
              <a:ext cx="3139440" cy="746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396240</xdr:colOff>
      <xdr:row>1</xdr:row>
      <xdr:rowOff>129540</xdr:rowOff>
    </xdr:from>
    <xdr:to>
      <xdr:col>11</xdr:col>
      <xdr:colOff>274320</xdr:colOff>
      <xdr:row>17</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Vishwa Thakkar" refreshedDate="46026.575968287034" createdVersion="5" refreshedVersion="5" minRefreshableVersion="3" recordCount="30">
  <cacheSource type="worksheet">
    <worksheetSource ref="A1:G31" sheet="Pivot Table and DashBoard"/>
  </cacheSource>
  <cacheFields count="7">
    <cacheField name="Name" numFmtId="0">
      <sharedItems/>
    </cacheField>
    <cacheField name="Department" numFmtId="0">
      <sharedItems count="7">
        <s v="HR"/>
        <s v="Sales"/>
        <s v="Accounts"/>
        <s v="Marketing"/>
        <s v="Finance"/>
        <s v="Operations"/>
        <s v="IT"/>
      </sharedItems>
    </cacheField>
    <cacheField name="Salary" numFmtId="0">
      <sharedItems containsSemiMixedTypes="0" containsString="0" containsNumber="1" containsInteger="1" minValue="25500" maxValue="42000"/>
    </cacheField>
    <cacheField name="Bonus" numFmtId="0">
      <sharedItems containsSemiMixedTypes="0" containsString="0" containsNumber="1" containsInteger="1" minValue="1800" maxValue="7500"/>
    </cacheField>
    <cacheField name="Email" numFmtId="0">
      <sharedItems/>
    </cacheField>
    <cacheField name="Joining Date" numFmtId="14">
      <sharedItems containsSemiMixedTypes="0" containsNonDate="0" containsDate="1" containsString="0" minDate="2020-03-10T00:00:00" maxDate="2023-08-06T00:00:00"/>
    </cacheField>
    <cacheField name="City" numFmtId="0">
      <sharedItems count="14">
        <s v="Delhi"/>
        <s v="Mumbai"/>
        <s v="Jaipur"/>
        <s v="Pune"/>
        <s v="Noida"/>
        <s v="Lucknow"/>
        <s v="Indore"/>
        <s v="Surat"/>
        <s v="Bhopal"/>
        <s v="Kanpur"/>
        <s v="Ahmedabad"/>
        <s v="Nashik"/>
        <s v="Chandigarh"/>
        <s v="Hyderabad"/>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Vishwa Thakkar" refreshedDate="46026.580368634262" createdVersion="5" refreshedVersion="5" minRefreshableVersion="3" recordCount="30">
  <cacheSource type="worksheet">
    <worksheetSource ref="A1:G31" sheet="Pivot Table and DashBoard"/>
  </cacheSource>
  <cacheFields count="7">
    <cacheField name="Name" numFmtId="0">
      <sharedItems/>
    </cacheField>
    <cacheField name="Department" numFmtId="0">
      <sharedItems count="7">
        <s v="HR"/>
        <s v="Sales"/>
        <s v="Accounts"/>
        <s v="Marketing"/>
        <s v="Finance"/>
        <s v="Operations"/>
        <s v="IT"/>
      </sharedItems>
    </cacheField>
    <cacheField name="Salary" numFmtId="0">
      <sharedItems containsSemiMixedTypes="0" containsString="0" containsNumber="1" containsInteger="1" minValue="25500" maxValue="42000"/>
    </cacheField>
    <cacheField name="Bonus" numFmtId="0">
      <sharedItems containsSemiMixedTypes="0" containsString="0" containsNumber="1" containsInteger="1" minValue="1800" maxValue="7500"/>
    </cacheField>
    <cacheField name="Email" numFmtId="0">
      <sharedItems count="30">
        <s v="rahul.k@office.com"/>
        <s v="ankita.s@office.com"/>
        <s v="mohit.v@office.com"/>
        <s v="priya.s@office.com"/>
        <s v="sandeep.y@office.com"/>
        <s v="riya.m@office.com"/>
        <s v="amit.t@office.com"/>
        <s v="neha.k@office.com"/>
        <s v="arjun.r@office.com"/>
        <s v="divya.c@office.com"/>
        <s v="karan.p@office.com"/>
        <s v="sneha.j@office.com"/>
        <s v="rohit.m@office.com"/>
        <s v="megha.j@office.com"/>
        <s v="harshit.g@office.com"/>
        <s v="pooja.s@office.com"/>
        <s v="varun.s@office.com"/>
        <s v="nikita.r@office.com"/>
        <s v="shivam.a@office.com"/>
        <s v="sonia.b@office.com"/>
        <s v="yash.t@office.com"/>
        <s v="payal.d@office.com"/>
        <s v="abhishek.r@office.com"/>
        <s v="simran.k@office.com"/>
        <s v="deepak.j@office.com"/>
        <s v="shreya.s@office.com"/>
        <s v="manish.k@office.com"/>
        <s v="aarav.g@office.com"/>
        <s v="tanya.v@office.com"/>
        <s v="jay.m@office.com"/>
      </sharedItems>
    </cacheField>
    <cacheField name="Joining Date" numFmtId="14">
      <sharedItems containsSemiMixedTypes="0" containsNonDate="0" containsDate="1" containsString="0" minDate="2020-03-10T00:00:00" maxDate="2023-08-06T00:00:00"/>
    </cacheField>
    <cacheField name="City" numFmtId="0">
      <sharedItems count="14">
        <s v="Delhi"/>
        <s v="Mumbai"/>
        <s v="Jaipur"/>
        <s v="Pune"/>
        <s v="Noida"/>
        <s v="Lucknow"/>
        <s v="Indore"/>
        <s v="Surat"/>
        <s v="Bhopal"/>
        <s v="Kanpur"/>
        <s v="Ahmedabad"/>
        <s v="Nashik"/>
        <s v="Chandigarh"/>
        <s v="Hyderaba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
  <r>
    <s v="Rahul Kumar"/>
    <x v="0"/>
    <n v="28000"/>
    <n v="3000"/>
    <s v="rahul.k@office.com"/>
    <d v="2021-02-12T00:00:00"/>
    <x v="0"/>
  </r>
  <r>
    <s v="Ankita Sharma"/>
    <x v="1"/>
    <n v="35000"/>
    <n v="5000"/>
    <s v="ankita.s@office.com"/>
    <d v="2020-07-04T00:00:00"/>
    <x v="1"/>
  </r>
  <r>
    <s v="Mohit Verma"/>
    <x v="2"/>
    <n v="26000"/>
    <n v="2000"/>
    <s v="mohit.v@office.com"/>
    <d v="2022-11-19T00:00:00"/>
    <x v="2"/>
  </r>
  <r>
    <s v="Priya Singh"/>
    <x v="3"/>
    <n v="30000"/>
    <n v="4000"/>
    <s v="priya.s@office.com"/>
    <d v="2021-05-06T00:00:00"/>
    <x v="3"/>
  </r>
  <r>
    <s v="Sandeep Yadav"/>
    <x v="4"/>
    <n v="32000"/>
    <n v="3500"/>
    <s v="sandeep.y@office.com"/>
    <d v="2023-01-01T00:00:00"/>
    <x v="4"/>
  </r>
  <r>
    <s v="Riya Mehta"/>
    <x v="0"/>
    <n v="27000"/>
    <n v="2500"/>
    <s v="riya.m@office.com"/>
    <d v="2020-08-23T00:00:00"/>
    <x v="5"/>
  </r>
  <r>
    <s v="Amit Tiwari"/>
    <x v="5"/>
    <n v="31000"/>
    <n v="3000"/>
    <s v="amit.t@office.com"/>
    <d v="2022-09-30T00:00:00"/>
    <x v="6"/>
  </r>
  <r>
    <s v="Neha Kapoor"/>
    <x v="1"/>
    <n v="36000"/>
    <n v="6000"/>
    <s v="neha.k@office.com"/>
    <d v="2021-12-11T00:00:00"/>
    <x v="7"/>
  </r>
  <r>
    <s v="Arjun Rana"/>
    <x v="2"/>
    <n v="25500"/>
    <n v="1800"/>
    <s v="arjun.r@office.com"/>
    <d v="2023-03-18T00:00:00"/>
    <x v="8"/>
  </r>
  <r>
    <s v="Divya Chauhan"/>
    <x v="0"/>
    <n v="29000"/>
    <n v="2500"/>
    <s v="divya.c@office.com"/>
    <d v="2021-01-07T00:00:00"/>
    <x v="9"/>
  </r>
  <r>
    <s v="Karan Patel"/>
    <x v="6"/>
    <n v="40000"/>
    <n v="7000"/>
    <s v="karan.p@office.com"/>
    <d v="2022-04-14T00:00:00"/>
    <x v="10"/>
  </r>
  <r>
    <s v="Sneha Joshi"/>
    <x v="5"/>
    <n v="30500"/>
    <n v="3200"/>
    <s v="sneha.j@office.com"/>
    <d v="2020-09-09T00:00:00"/>
    <x v="11"/>
  </r>
  <r>
    <s v="Rohit Malhotra"/>
    <x v="3"/>
    <n v="29500"/>
    <n v="2800"/>
    <s v="rohit.m@office.com"/>
    <d v="2023-02-25T00:00:00"/>
    <x v="12"/>
  </r>
  <r>
    <s v="Megha Jain"/>
    <x v="4"/>
    <n v="33000"/>
    <n v="4000"/>
    <s v="megha.j@office.com"/>
    <d v="2021-10-22T00:00:00"/>
    <x v="2"/>
  </r>
  <r>
    <s v="Harshit Gupta"/>
    <x v="6"/>
    <n v="42000"/>
    <n v="7500"/>
    <s v="harshit.g@office.com"/>
    <d v="2020-06-03T00:00:00"/>
    <x v="0"/>
  </r>
  <r>
    <s v="Pooja Soni"/>
    <x v="2"/>
    <n v="26500"/>
    <n v="2100"/>
    <s v="pooja.s@office.com"/>
    <d v="2022-01-29T00:00:00"/>
    <x v="1"/>
  </r>
  <r>
    <s v="Varun Singh"/>
    <x v="0"/>
    <n v="27500"/>
    <n v="2200"/>
    <s v="varun.s@office.com"/>
    <d v="2023-08-05T00:00:00"/>
    <x v="0"/>
  </r>
  <r>
    <s v="Nikita Rao"/>
    <x v="3"/>
    <n v="31000"/>
    <n v="3500"/>
    <s v="nikita.r@office.com"/>
    <d v="2021-11-12T00:00:00"/>
    <x v="13"/>
  </r>
  <r>
    <s v="Shivam Arora"/>
    <x v="1"/>
    <n v="34500"/>
    <n v="4500"/>
    <s v="shivam.a@office.com"/>
    <d v="2020-03-10T00:00:00"/>
    <x v="3"/>
  </r>
  <r>
    <s v="Sonia Bansal"/>
    <x v="5"/>
    <n v="31500"/>
    <n v="2900"/>
    <s v="sonia.b@office.com"/>
    <d v="2022-12-02T00:00:00"/>
    <x v="7"/>
  </r>
  <r>
    <s v="Yash Thakur"/>
    <x v="6"/>
    <n v="41000"/>
    <n v="7000"/>
    <s v="yash.t@office.com"/>
    <d v="2021-07-28T00:00:00"/>
    <x v="6"/>
  </r>
  <r>
    <s v="Payal Deshmukh"/>
    <x v="4"/>
    <n v="32500"/>
    <n v="3000"/>
    <s v="payal.d@office.com"/>
    <d v="2020-09-09T00:00:00"/>
    <x v="8"/>
  </r>
  <r>
    <s v="Abhishek Reddy"/>
    <x v="0"/>
    <n v="28500"/>
    <n v="2600"/>
    <s v="abhishek.r@office.com"/>
    <d v="2023-04-16T00:00:00"/>
    <x v="13"/>
  </r>
  <r>
    <s v="Simran Kaur"/>
    <x v="1"/>
    <n v="35500"/>
    <n v="4800"/>
    <s v="simran.k@office.com"/>
    <d v="2021-02-01T00:00:00"/>
    <x v="12"/>
  </r>
  <r>
    <s v="Deepak Jha"/>
    <x v="5"/>
    <n v="30000"/>
    <n v="2500"/>
    <s v="deepak.j@office.com"/>
    <d v="2022-11-13T00:00:00"/>
    <x v="5"/>
  </r>
  <r>
    <s v="Shreya Shah"/>
    <x v="3"/>
    <n v="30500"/>
    <n v="3300"/>
    <s v="shreya.s@office.com"/>
    <d v="2020-12-27T00:00:00"/>
    <x v="10"/>
  </r>
  <r>
    <s v="Manish Kumar"/>
    <x v="2"/>
    <n v="27000"/>
    <n v="2200"/>
    <s v="manish.k@office.com"/>
    <d v="2023-05-08T00:00:00"/>
    <x v="2"/>
  </r>
  <r>
    <s v="Aarav Goel"/>
    <x v="6"/>
    <n v="39500"/>
    <n v="6800"/>
    <s v="aarav.g@office.com"/>
    <d v="2021-07-21T00:00:00"/>
    <x v="0"/>
  </r>
  <r>
    <s v="Tanya Verma"/>
    <x v="4"/>
    <n v="33500"/>
    <n v="4200"/>
    <s v="tanya.v@office.com"/>
    <d v="2022-01-04T00:00:00"/>
    <x v="3"/>
  </r>
  <r>
    <s v="Jay Mehta"/>
    <x v="1"/>
    <n v="34000"/>
    <n v="4300"/>
    <s v="jay.m@office.com"/>
    <d v="2020-03-18T00:00:00"/>
    <x v="1"/>
  </r>
</pivotCacheRecords>
</file>

<file path=xl/pivotCache/pivotCacheRecords2.xml><?xml version="1.0" encoding="utf-8"?>
<pivotCacheRecords xmlns="http://schemas.openxmlformats.org/spreadsheetml/2006/main" xmlns:r="http://schemas.openxmlformats.org/officeDocument/2006/relationships" count="30">
  <r>
    <s v="Rahul Kumar"/>
    <x v="0"/>
    <n v="28000"/>
    <n v="3000"/>
    <x v="0"/>
    <d v="2021-02-12T00:00:00"/>
    <x v="0"/>
  </r>
  <r>
    <s v="Ankita Sharma"/>
    <x v="1"/>
    <n v="35000"/>
    <n v="5000"/>
    <x v="1"/>
    <d v="2020-07-04T00:00:00"/>
    <x v="1"/>
  </r>
  <r>
    <s v="Mohit Verma"/>
    <x v="2"/>
    <n v="26000"/>
    <n v="2000"/>
    <x v="2"/>
    <d v="2022-11-19T00:00:00"/>
    <x v="2"/>
  </r>
  <r>
    <s v="Priya Singh"/>
    <x v="3"/>
    <n v="30000"/>
    <n v="4000"/>
    <x v="3"/>
    <d v="2021-05-06T00:00:00"/>
    <x v="3"/>
  </r>
  <r>
    <s v="Sandeep Yadav"/>
    <x v="4"/>
    <n v="32000"/>
    <n v="3500"/>
    <x v="4"/>
    <d v="2023-01-01T00:00:00"/>
    <x v="4"/>
  </r>
  <r>
    <s v="Riya Mehta"/>
    <x v="0"/>
    <n v="27000"/>
    <n v="2500"/>
    <x v="5"/>
    <d v="2020-08-23T00:00:00"/>
    <x v="5"/>
  </r>
  <r>
    <s v="Amit Tiwari"/>
    <x v="5"/>
    <n v="31000"/>
    <n v="3000"/>
    <x v="6"/>
    <d v="2022-09-30T00:00:00"/>
    <x v="6"/>
  </r>
  <r>
    <s v="Neha Kapoor"/>
    <x v="1"/>
    <n v="36000"/>
    <n v="6000"/>
    <x v="7"/>
    <d v="2021-12-11T00:00:00"/>
    <x v="7"/>
  </r>
  <r>
    <s v="Arjun Rana"/>
    <x v="2"/>
    <n v="25500"/>
    <n v="1800"/>
    <x v="8"/>
    <d v="2023-03-18T00:00:00"/>
    <x v="8"/>
  </r>
  <r>
    <s v="Divya Chauhan"/>
    <x v="0"/>
    <n v="29000"/>
    <n v="2500"/>
    <x v="9"/>
    <d v="2021-01-07T00:00:00"/>
    <x v="9"/>
  </r>
  <r>
    <s v="Karan Patel"/>
    <x v="6"/>
    <n v="40000"/>
    <n v="7000"/>
    <x v="10"/>
    <d v="2022-04-14T00:00:00"/>
    <x v="10"/>
  </r>
  <r>
    <s v="Sneha Joshi"/>
    <x v="5"/>
    <n v="30500"/>
    <n v="3200"/>
    <x v="11"/>
    <d v="2020-09-09T00:00:00"/>
    <x v="11"/>
  </r>
  <r>
    <s v="Rohit Malhotra"/>
    <x v="3"/>
    <n v="29500"/>
    <n v="2800"/>
    <x v="12"/>
    <d v="2023-02-25T00:00:00"/>
    <x v="12"/>
  </r>
  <r>
    <s v="Megha Jain"/>
    <x v="4"/>
    <n v="33000"/>
    <n v="4000"/>
    <x v="13"/>
    <d v="2021-10-22T00:00:00"/>
    <x v="2"/>
  </r>
  <r>
    <s v="Harshit Gupta"/>
    <x v="6"/>
    <n v="42000"/>
    <n v="7500"/>
    <x v="14"/>
    <d v="2020-06-03T00:00:00"/>
    <x v="0"/>
  </r>
  <r>
    <s v="Pooja Soni"/>
    <x v="2"/>
    <n v="26500"/>
    <n v="2100"/>
    <x v="15"/>
    <d v="2022-01-29T00:00:00"/>
    <x v="1"/>
  </r>
  <r>
    <s v="Varun Singh"/>
    <x v="0"/>
    <n v="27500"/>
    <n v="2200"/>
    <x v="16"/>
    <d v="2023-08-05T00:00:00"/>
    <x v="0"/>
  </r>
  <r>
    <s v="Nikita Rao"/>
    <x v="3"/>
    <n v="31000"/>
    <n v="3500"/>
    <x v="17"/>
    <d v="2021-11-12T00:00:00"/>
    <x v="13"/>
  </r>
  <r>
    <s v="Shivam Arora"/>
    <x v="1"/>
    <n v="34500"/>
    <n v="4500"/>
    <x v="18"/>
    <d v="2020-03-10T00:00:00"/>
    <x v="3"/>
  </r>
  <r>
    <s v="Sonia Bansal"/>
    <x v="5"/>
    <n v="31500"/>
    <n v="2900"/>
    <x v="19"/>
    <d v="2022-12-02T00:00:00"/>
    <x v="7"/>
  </r>
  <r>
    <s v="Yash Thakur"/>
    <x v="6"/>
    <n v="41000"/>
    <n v="7000"/>
    <x v="20"/>
    <d v="2021-07-28T00:00:00"/>
    <x v="6"/>
  </r>
  <r>
    <s v="Payal Deshmukh"/>
    <x v="4"/>
    <n v="32500"/>
    <n v="3000"/>
    <x v="21"/>
    <d v="2020-09-09T00:00:00"/>
    <x v="8"/>
  </r>
  <r>
    <s v="Abhishek Reddy"/>
    <x v="0"/>
    <n v="28500"/>
    <n v="2600"/>
    <x v="22"/>
    <d v="2023-04-16T00:00:00"/>
    <x v="13"/>
  </r>
  <r>
    <s v="Simran Kaur"/>
    <x v="1"/>
    <n v="35500"/>
    <n v="4800"/>
    <x v="23"/>
    <d v="2021-02-01T00:00:00"/>
    <x v="12"/>
  </r>
  <r>
    <s v="Deepak Jha"/>
    <x v="5"/>
    <n v="30000"/>
    <n v="2500"/>
    <x v="24"/>
    <d v="2022-11-13T00:00:00"/>
    <x v="5"/>
  </r>
  <r>
    <s v="Shreya Shah"/>
    <x v="3"/>
    <n v="30500"/>
    <n v="3300"/>
    <x v="25"/>
    <d v="2020-12-27T00:00:00"/>
    <x v="10"/>
  </r>
  <r>
    <s v="Manish Kumar"/>
    <x v="2"/>
    <n v="27000"/>
    <n v="2200"/>
    <x v="26"/>
    <d v="2023-05-08T00:00:00"/>
    <x v="2"/>
  </r>
  <r>
    <s v="Aarav Goel"/>
    <x v="6"/>
    <n v="39500"/>
    <n v="6800"/>
    <x v="27"/>
    <d v="2021-07-21T00:00:00"/>
    <x v="0"/>
  </r>
  <r>
    <s v="Tanya Verma"/>
    <x v="4"/>
    <n v="33500"/>
    <n v="4200"/>
    <x v="28"/>
    <d v="2022-01-04T00:00:00"/>
    <x v="3"/>
  </r>
  <r>
    <s v="Jay Mehta"/>
    <x v="1"/>
    <n v="34000"/>
    <n v="4300"/>
    <x v="29"/>
    <d v="2020-03-18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8" firstHeaderRow="1" firstDataRow="1" firstDataCol="1"/>
  <pivotFields count="7">
    <pivotField showAll="0"/>
    <pivotField showAll="0">
      <items count="8">
        <item x="2"/>
        <item x="4"/>
        <item x="0"/>
        <item x="6"/>
        <item x="3"/>
        <item x="5"/>
        <item x="1"/>
        <item t="default"/>
      </items>
    </pivotField>
    <pivotField dataField="1" showAll="0"/>
    <pivotField showAll="0"/>
    <pivotField showAll="0"/>
    <pivotField numFmtId="14" showAll="0"/>
    <pivotField axis="axisRow" showAll="0">
      <items count="15">
        <item x="10"/>
        <item x="8"/>
        <item x="12"/>
        <item x="0"/>
        <item x="13"/>
        <item x="6"/>
        <item x="2"/>
        <item x="9"/>
        <item x="5"/>
        <item x="1"/>
        <item x="11"/>
        <item x="4"/>
        <item x="3"/>
        <item x="7"/>
        <item t="default"/>
      </items>
    </pivotField>
  </pivotFields>
  <rowFields count="1">
    <field x="6"/>
  </rowFields>
  <rowItems count="15">
    <i>
      <x/>
    </i>
    <i>
      <x v="1"/>
    </i>
    <i>
      <x v="2"/>
    </i>
    <i>
      <x v="3"/>
    </i>
    <i>
      <x v="4"/>
    </i>
    <i>
      <x v="5"/>
    </i>
    <i>
      <x v="6"/>
    </i>
    <i>
      <x v="7"/>
    </i>
    <i>
      <x v="8"/>
    </i>
    <i>
      <x v="9"/>
    </i>
    <i>
      <x v="10"/>
    </i>
    <i>
      <x v="11"/>
    </i>
    <i>
      <x v="12"/>
    </i>
    <i>
      <x v="13"/>
    </i>
    <i t="grand">
      <x/>
    </i>
  </rowItems>
  <colItems count="1">
    <i/>
  </colItems>
  <dataFields count="1">
    <dataField name="Sum of Salar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C11" firstHeaderRow="0" firstDataRow="1" firstDataCol="1"/>
  <pivotFields count="7">
    <pivotField dataField="1" showAll="0"/>
    <pivotField axis="axisRow" showAll="0">
      <items count="8">
        <item sd="0" x="2"/>
        <item sd="0" x="4"/>
        <item sd="0" x="0"/>
        <item sd="0" x="6"/>
        <item sd="0" x="3"/>
        <item sd="0" x="5"/>
        <item sd="0" x="1"/>
        <item t="default" sd="0"/>
      </items>
    </pivotField>
    <pivotField dataField="1" showAll="0"/>
    <pivotField showAll="0"/>
    <pivotField showAll="0">
      <items count="31">
        <item x="27"/>
        <item x="22"/>
        <item x="6"/>
        <item x="1"/>
        <item x="8"/>
        <item x="24"/>
        <item x="9"/>
        <item x="14"/>
        <item x="29"/>
        <item x="10"/>
        <item x="26"/>
        <item x="13"/>
        <item x="2"/>
        <item x="7"/>
        <item x="17"/>
        <item x="21"/>
        <item x="15"/>
        <item x="3"/>
        <item x="0"/>
        <item x="5"/>
        <item x="12"/>
        <item x="4"/>
        <item x="18"/>
        <item x="25"/>
        <item x="23"/>
        <item x="11"/>
        <item x="19"/>
        <item x="28"/>
        <item x="16"/>
        <item x="20"/>
        <item t="default"/>
      </items>
    </pivotField>
    <pivotField numFmtId="14" showAll="0"/>
    <pivotField axis="axisRow" showAll="0">
      <items count="15">
        <item x="10"/>
        <item x="8"/>
        <item x="12"/>
        <item x="0"/>
        <item x="13"/>
        <item x="6"/>
        <item x="2"/>
        <item x="9"/>
        <item x="5"/>
        <item x="1"/>
        <item x="11"/>
        <item x="4"/>
        <item x="3"/>
        <item x="7"/>
        <item t="default"/>
      </items>
    </pivotField>
  </pivotFields>
  <rowFields count="2">
    <field x="1"/>
    <field x="6"/>
  </rowFields>
  <rowItems count="8">
    <i>
      <x/>
    </i>
    <i>
      <x v="1"/>
    </i>
    <i>
      <x v="2"/>
    </i>
    <i>
      <x v="3"/>
    </i>
    <i>
      <x v="4"/>
    </i>
    <i>
      <x v="5"/>
    </i>
    <i>
      <x v="6"/>
    </i>
    <i t="grand">
      <x/>
    </i>
  </rowItems>
  <colFields count="1">
    <field x="-2"/>
  </colFields>
  <colItems count="2">
    <i>
      <x/>
    </i>
    <i i="1">
      <x v="1"/>
    </i>
  </colItems>
  <dataFields count="2">
    <dataField name="Sum of Salary" fld="2" baseField="0" baseItem="0"/>
    <dataField name="Count of Name" fld="0" subtotal="count" baseField="0" baseItem="0"/>
  </dataFields>
  <chartFormats count="1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1"/>
          </reference>
          <reference field="1" count="1" selected="0">
            <x v="0"/>
          </reference>
        </references>
      </pivotArea>
    </chartFormat>
    <chartFormat chart="0" format="11">
      <pivotArea type="data" outline="0" fieldPosition="0">
        <references count="2">
          <reference field="4294967294" count="1" selected="0">
            <x v="1"/>
          </reference>
          <reference field="1" count="1" selected="0">
            <x v="1"/>
          </reference>
        </references>
      </pivotArea>
    </chartFormat>
    <chartFormat chart="0" format="12">
      <pivotArea type="data" outline="0" fieldPosition="0">
        <references count="2">
          <reference field="4294967294" count="1" selected="0">
            <x v="1"/>
          </reference>
          <reference field="1" count="1" selected="0">
            <x v="2"/>
          </reference>
        </references>
      </pivotArea>
    </chartFormat>
    <chartFormat chart="0" format="13">
      <pivotArea type="data" outline="0" fieldPosition="0">
        <references count="2">
          <reference field="4294967294" count="1" selected="0">
            <x v="1"/>
          </reference>
          <reference field="1" count="1" selected="0">
            <x v="3"/>
          </reference>
        </references>
      </pivotArea>
    </chartFormat>
    <chartFormat chart="0" format="14">
      <pivotArea type="data" outline="0" fieldPosition="0">
        <references count="2">
          <reference field="4294967294" count="1" selected="0">
            <x v="1"/>
          </reference>
          <reference field="1" count="1" selected="0">
            <x v="4"/>
          </reference>
        </references>
      </pivotArea>
    </chartFormat>
    <chartFormat chart="0" format="15">
      <pivotArea type="data" outline="0" fieldPosition="0">
        <references count="2">
          <reference field="4294967294" count="1" selected="0">
            <x v="1"/>
          </reference>
          <reference field="1" count="1" selected="0">
            <x v="5"/>
          </reference>
        </references>
      </pivotArea>
    </chartFormat>
    <chartFormat chart="0" format="16">
      <pivotArea type="data" outline="0" fieldPosition="0">
        <references count="2">
          <reference field="4294967294" count="1" selected="0">
            <x v="1"/>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0" name="PivotTable5"/>
  </pivotTables>
  <data>
    <tabular pivotCacheId="1">
      <items count="7">
        <i x="2" s="1"/>
        <i x="4" s="1"/>
        <i x="0" s="1"/>
        <i x="6" s="1"/>
        <i x="3"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artItem="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18" Type="http://schemas.openxmlformats.org/officeDocument/2006/relationships/hyperlink" Target="mailto:nikita.r@office.com" TargetMode="External"/><Relationship Id="rId26" Type="http://schemas.openxmlformats.org/officeDocument/2006/relationships/hyperlink" Target="mailto:shreya.s@office.com" TargetMode="External"/><Relationship Id="rId3" Type="http://schemas.openxmlformats.org/officeDocument/2006/relationships/hyperlink" Target="mailto:mohit.v@office.com" TargetMode="External"/><Relationship Id="rId21" Type="http://schemas.openxmlformats.org/officeDocument/2006/relationships/hyperlink" Target="mailto:yash.t@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varun.s@office.com" TargetMode="External"/><Relationship Id="rId25" Type="http://schemas.openxmlformats.org/officeDocument/2006/relationships/hyperlink" Target="mailto:deepak.j@office.com" TargetMode="External"/><Relationship Id="rId2" Type="http://schemas.openxmlformats.org/officeDocument/2006/relationships/hyperlink" Target="mailto:ankita.s@office.com" TargetMode="External"/><Relationship Id="rId16" Type="http://schemas.openxmlformats.org/officeDocument/2006/relationships/hyperlink" Target="mailto:pooja.s@office.com" TargetMode="External"/><Relationship Id="rId20" Type="http://schemas.openxmlformats.org/officeDocument/2006/relationships/hyperlink" Target="mailto:sonia.b@office.com" TargetMode="External"/><Relationship Id="rId29" Type="http://schemas.openxmlformats.org/officeDocument/2006/relationships/hyperlink" Target="mailto:tanya.v@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24" Type="http://schemas.openxmlformats.org/officeDocument/2006/relationships/hyperlink" Target="mailto:simran.k@office.com" TargetMode="External"/><Relationship Id="rId5" Type="http://schemas.openxmlformats.org/officeDocument/2006/relationships/hyperlink" Target="mailto:sandeep.y@office.com" TargetMode="External"/><Relationship Id="rId15" Type="http://schemas.openxmlformats.org/officeDocument/2006/relationships/hyperlink" Target="mailto:harshit.g@office.com" TargetMode="External"/><Relationship Id="rId23" Type="http://schemas.openxmlformats.org/officeDocument/2006/relationships/hyperlink" Target="mailto:abhishek.r@office.com" TargetMode="External"/><Relationship Id="rId28" Type="http://schemas.openxmlformats.org/officeDocument/2006/relationships/hyperlink" Target="mailto:aarav.g@office.com" TargetMode="External"/><Relationship Id="rId10" Type="http://schemas.openxmlformats.org/officeDocument/2006/relationships/hyperlink" Target="mailto:divya.c@office.com" TargetMode="External"/><Relationship Id="rId19" Type="http://schemas.openxmlformats.org/officeDocument/2006/relationships/hyperlink" Target="mailto:shivam.a@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megha.j@office.com" TargetMode="External"/><Relationship Id="rId22" Type="http://schemas.openxmlformats.org/officeDocument/2006/relationships/hyperlink" Target="mailto:payal.d@office.com" TargetMode="External"/><Relationship Id="rId27" Type="http://schemas.openxmlformats.org/officeDocument/2006/relationships/hyperlink" Target="mailto:manish.k@office.com" TargetMode="External"/><Relationship Id="rId30" Type="http://schemas.openxmlformats.org/officeDocument/2006/relationships/hyperlink" Target="mailto:jay.m@offic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3" Type="http://schemas.openxmlformats.org/officeDocument/2006/relationships/hyperlink" Target="mailto:mohit.v@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megha.j@office.com" TargetMode="External"/><Relationship Id="rId2" Type="http://schemas.openxmlformats.org/officeDocument/2006/relationships/hyperlink" Target="mailto:ankita.s@office.com" TargetMode="External"/><Relationship Id="rId16" Type="http://schemas.openxmlformats.org/officeDocument/2006/relationships/hyperlink" Target="mailto:harshit.g@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5" Type="http://schemas.openxmlformats.org/officeDocument/2006/relationships/hyperlink" Target="mailto:sandeep.y@office.com" TargetMode="External"/><Relationship Id="rId15" Type="http://schemas.openxmlformats.org/officeDocument/2006/relationships/hyperlink" Target="mailto:pooja.s@office.com" TargetMode="External"/><Relationship Id="rId10" Type="http://schemas.openxmlformats.org/officeDocument/2006/relationships/hyperlink" Target="mailto:divya.c@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varun.s@offic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3" Type="http://schemas.openxmlformats.org/officeDocument/2006/relationships/hyperlink" Target="mailto:mohit.v@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megha.j@office.com" TargetMode="External"/><Relationship Id="rId2" Type="http://schemas.openxmlformats.org/officeDocument/2006/relationships/hyperlink" Target="mailto:ankita.s@office.com" TargetMode="External"/><Relationship Id="rId16" Type="http://schemas.openxmlformats.org/officeDocument/2006/relationships/hyperlink" Target="mailto:harshit.g@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5" Type="http://schemas.openxmlformats.org/officeDocument/2006/relationships/hyperlink" Target="mailto:sandeep.y@office.com" TargetMode="External"/><Relationship Id="rId15" Type="http://schemas.openxmlformats.org/officeDocument/2006/relationships/hyperlink" Target="mailto:pooja.s@office.com" TargetMode="External"/><Relationship Id="rId10" Type="http://schemas.openxmlformats.org/officeDocument/2006/relationships/hyperlink" Target="mailto:divya.c@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varun.s@offic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18" Type="http://schemas.openxmlformats.org/officeDocument/2006/relationships/hyperlink" Target="mailto:nikita.r@office.com" TargetMode="External"/><Relationship Id="rId26" Type="http://schemas.openxmlformats.org/officeDocument/2006/relationships/hyperlink" Target="mailto:shreya.s@office.com" TargetMode="External"/><Relationship Id="rId3" Type="http://schemas.openxmlformats.org/officeDocument/2006/relationships/hyperlink" Target="mailto:mohit.v@office.com" TargetMode="External"/><Relationship Id="rId21" Type="http://schemas.openxmlformats.org/officeDocument/2006/relationships/hyperlink" Target="mailto:yash.t@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varun.s@office.com" TargetMode="External"/><Relationship Id="rId25" Type="http://schemas.openxmlformats.org/officeDocument/2006/relationships/hyperlink" Target="mailto:deepak.j@office.com" TargetMode="External"/><Relationship Id="rId2" Type="http://schemas.openxmlformats.org/officeDocument/2006/relationships/hyperlink" Target="mailto:ankita.s@office.com" TargetMode="External"/><Relationship Id="rId16" Type="http://schemas.openxmlformats.org/officeDocument/2006/relationships/hyperlink" Target="mailto:pooja.s@office.com" TargetMode="External"/><Relationship Id="rId20" Type="http://schemas.openxmlformats.org/officeDocument/2006/relationships/hyperlink" Target="mailto:sonia.b@office.com" TargetMode="External"/><Relationship Id="rId29" Type="http://schemas.openxmlformats.org/officeDocument/2006/relationships/hyperlink" Target="mailto:tanya.v@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24" Type="http://schemas.openxmlformats.org/officeDocument/2006/relationships/hyperlink" Target="mailto:simran.k@office.com" TargetMode="External"/><Relationship Id="rId5" Type="http://schemas.openxmlformats.org/officeDocument/2006/relationships/hyperlink" Target="mailto:sandeep.y@office.com" TargetMode="External"/><Relationship Id="rId15" Type="http://schemas.openxmlformats.org/officeDocument/2006/relationships/hyperlink" Target="mailto:harshit.g@office.com" TargetMode="External"/><Relationship Id="rId23" Type="http://schemas.openxmlformats.org/officeDocument/2006/relationships/hyperlink" Target="mailto:abhishek.r@office.com" TargetMode="External"/><Relationship Id="rId28" Type="http://schemas.openxmlformats.org/officeDocument/2006/relationships/hyperlink" Target="mailto:aarav.g@office.com" TargetMode="External"/><Relationship Id="rId10" Type="http://schemas.openxmlformats.org/officeDocument/2006/relationships/hyperlink" Target="mailto:divya.c@office.com" TargetMode="External"/><Relationship Id="rId19" Type="http://schemas.openxmlformats.org/officeDocument/2006/relationships/hyperlink" Target="mailto:shivam.a@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megha.j@office.com" TargetMode="External"/><Relationship Id="rId22" Type="http://schemas.openxmlformats.org/officeDocument/2006/relationships/hyperlink" Target="mailto:payal.d@office.com" TargetMode="External"/><Relationship Id="rId27" Type="http://schemas.openxmlformats.org/officeDocument/2006/relationships/hyperlink" Target="mailto:manish.k@office.com" TargetMode="External"/><Relationship Id="rId30" Type="http://schemas.openxmlformats.org/officeDocument/2006/relationships/hyperlink" Target="mailto:jay.m@office.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18" Type="http://schemas.openxmlformats.org/officeDocument/2006/relationships/hyperlink" Target="mailto:nikita.r@office.com" TargetMode="External"/><Relationship Id="rId26" Type="http://schemas.openxmlformats.org/officeDocument/2006/relationships/hyperlink" Target="mailto:shreya.s@office.com" TargetMode="External"/><Relationship Id="rId3" Type="http://schemas.openxmlformats.org/officeDocument/2006/relationships/hyperlink" Target="mailto:mohit.v@office.com" TargetMode="External"/><Relationship Id="rId21" Type="http://schemas.openxmlformats.org/officeDocument/2006/relationships/hyperlink" Target="mailto:yash.t@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varun.s@office.com" TargetMode="External"/><Relationship Id="rId25" Type="http://schemas.openxmlformats.org/officeDocument/2006/relationships/hyperlink" Target="mailto:deepak.j@office.com" TargetMode="External"/><Relationship Id="rId2" Type="http://schemas.openxmlformats.org/officeDocument/2006/relationships/hyperlink" Target="mailto:ankita.s@office.com" TargetMode="External"/><Relationship Id="rId16" Type="http://schemas.openxmlformats.org/officeDocument/2006/relationships/hyperlink" Target="mailto:pooja.s@office.com" TargetMode="External"/><Relationship Id="rId20" Type="http://schemas.openxmlformats.org/officeDocument/2006/relationships/hyperlink" Target="mailto:sonia.b@office.com" TargetMode="External"/><Relationship Id="rId29" Type="http://schemas.openxmlformats.org/officeDocument/2006/relationships/hyperlink" Target="mailto:tanya.v@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24" Type="http://schemas.openxmlformats.org/officeDocument/2006/relationships/hyperlink" Target="mailto:simran.k@office.com" TargetMode="External"/><Relationship Id="rId5" Type="http://schemas.openxmlformats.org/officeDocument/2006/relationships/hyperlink" Target="mailto:sandeep.y@office.com" TargetMode="External"/><Relationship Id="rId15" Type="http://schemas.openxmlformats.org/officeDocument/2006/relationships/hyperlink" Target="mailto:harshit.g@office.com" TargetMode="External"/><Relationship Id="rId23" Type="http://schemas.openxmlformats.org/officeDocument/2006/relationships/hyperlink" Target="mailto:abhishek.r@office.com" TargetMode="External"/><Relationship Id="rId28" Type="http://schemas.openxmlformats.org/officeDocument/2006/relationships/hyperlink" Target="mailto:aarav.g@office.com" TargetMode="External"/><Relationship Id="rId10" Type="http://schemas.openxmlformats.org/officeDocument/2006/relationships/hyperlink" Target="mailto:divya.c@office.com" TargetMode="External"/><Relationship Id="rId19" Type="http://schemas.openxmlformats.org/officeDocument/2006/relationships/hyperlink" Target="mailto:shivam.a@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megha.j@office.com" TargetMode="External"/><Relationship Id="rId22" Type="http://schemas.openxmlformats.org/officeDocument/2006/relationships/hyperlink" Target="mailto:payal.d@office.com" TargetMode="External"/><Relationship Id="rId27" Type="http://schemas.openxmlformats.org/officeDocument/2006/relationships/hyperlink" Target="mailto:manish.k@office.com" TargetMode="External"/><Relationship Id="rId30" Type="http://schemas.openxmlformats.org/officeDocument/2006/relationships/hyperlink" Target="mailto:jay.m@office.com" TargetMode="Externa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8" Type="http://schemas.openxmlformats.org/officeDocument/2006/relationships/hyperlink" Target="mailto:neha.k@office.com" TargetMode="External"/><Relationship Id="rId13" Type="http://schemas.openxmlformats.org/officeDocument/2006/relationships/hyperlink" Target="mailto:rohit.m@office.com" TargetMode="External"/><Relationship Id="rId18" Type="http://schemas.openxmlformats.org/officeDocument/2006/relationships/hyperlink" Target="mailto:nikita.r@office.com" TargetMode="External"/><Relationship Id="rId26" Type="http://schemas.openxmlformats.org/officeDocument/2006/relationships/hyperlink" Target="mailto:shreya.s@office.com" TargetMode="External"/><Relationship Id="rId3" Type="http://schemas.openxmlformats.org/officeDocument/2006/relationships/hyperlink" Target="mailto:mohit.v@office.com" TargetMode="External"/><Relationship Id="rId21" Type="http://schemas.openxmlformats.org/officeDocument/2006/relationships/hyperlink" Target="mailto:yash.t@office.com" TargetMode="External"/><Relationship Id="rId7" Type="http://schemas.openxmlformats.org/officeDocument/2006/relationships/hyperlink" Target="mailto:amit.t@office.com" TargetMode="External"/><Relationship Id="rId12" Type="http://schemas.openxmlformats.org/officeDocument/2006/relationships/hyperlink" Target="mailto:sneha.j@office.com" TargetMode="External"/><Relationship Id="rId17" Type="http://schemas.openxmlformats.org/officeDocument/2006/relationships/hyperlink" Target="mailto:varun.s@office.com" TargetMode="External"/><Relationship Id="rId25" Type="http://schemas.openxmlformats.org/officeDocument/2006/relationships/hyperlink" Target="mailto:deepak.j@office.com" TargetMode="External"/><Relationship Id="rId2" Type="http://schemas.openxmlformats.org/officeDocument/2006/relationships/hyperlink" Target="mailto:ankita.s@office.com" TargetMode="External"/><Relationship Id="rId16" Type="http://schemas.openxmlformats.org/officeDocument/2006/relationships/hyperlink" Target="mailto:pooja.s@office.com" TargetMode="External"/><Relationship Id="rId20" Type="http://schemas.openxmlformats.org/officeDocument/2006/relationships/hyperlink" Target="mailto:sonia.b@office.com" TargetMode="External"/><Relationship Id="rId29" Type="http://schemas.openxmlformats.org/officeDocument/2006/relationships/hyperlink" Target="mailto:tanya.v@office.com" TargetMode="External"/><Relationship Id="rId1" Type="http://schemas.openxmlformats.org/officeDocument/2006/relationships/hyperlink" Target="mailto:rahul.k@office.com" TargetMode="External"/><Relationship Id="rId6" Type="http://schemas.openxmlformats.org/officeDocument/2006/relationships/hyperlink" Target="mailto:riya.m@office.com" TargetMode="External"/><Relationship Id="rId11" Type="http://schemas.openxmlformats.org/officeDocument/2006/relationships/hyperlink" Target="mailto:karan.p@office.com" TargetMode="External"/><Relationship Id="rId24" Type="http://schemas.openxmlformats.org/officeDocument/2006/relationships/hyperlink" Target="mailto:simran.k@office.com" TargetMode="External"/><Relationship Id="rId5" Type="http://schemas.openxmlformats.org/officeDocument/2006/relationships/hyperlink" Target="mailto:sandeep.y@office.com" TargetMode="External"/><Relationship Id="rId15" Type="http://schemas.openxmlformats.org/officeDocument/2006/relationships/hyperlink" Target="mailto:harshit.g@office.com" TargetMode="External"/><Relationship Id="rId23" Type="http://schemas.openxmlformats.org/officeDocument/2006/relationships/hyperlink" Target="mailto:abhishek.r@office.com" TargetMode="External"/><Relationship Id="rId28" Type="http://schemas.openxmlformats.org/officeDocument/2006/relationships/hyperlink" Target="mailto:aarav.g@office.com" TargetMode="External"/><Relationship Id="rId10" Type="http://schemas.openxmlformats.org/officeDocument/2006/relationships/hyperlink" Target="mailto:divya.c@office.com" TargetMode="External"/><Relationship Id="rId19" Type="http://schemas.openxmlformats.org/officeDocument/2006/relationships/hyperlink" Target="mailto:shivam.a@office.com" TargetMode="External"/><Relationship Id="rId4" Type="http://schemas.openxmlformats.org/officeDocument/2006/relationships/hyperlink" Target="mailto:priya.s@office.com" TargetMode="External"/><Relationship Id="rId9" Type="http://schemas.openxmlformats.org/officeDocument/2006/relationships/hyperlink" Target="mailto:arjun.r@office.com" TargetMode="External"/><Relationship Id="rId14" Type="http://schemas.openxmlformats.org/officeDocument/2006/relationships/hyperlink" Target="mailto:megha.j@office.com" TargetMode="External"/><Relationship Id="rId22" Type="http://schemas.openxmlformats.org/officeDocument/2006/relationships/hyperlink" Target="mailto:payal.d@office.com" TargetMode="External"/><Relationship Id="rId27" Type="http://schemas.openxmlformats.org/officeDocument/2006/relationships/hyperlink" Target="mailto:manish.k@office.com" TargetMode="External"/><Relationship Id="rId30" Type="http://schemas.openxmlformats.org/officeDocument/2006/relationships/hyperlink" Target="mailto:jay.m@offi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abSelected="1" zoomScale="86" zoomScaleNormal="160" workbookViewId="0">
      <selection activeCell="I7" sqref="I7"/>
    </sheetView>
  </sheetViews>
  <sheetFormatPr defaultRowHeight="13.8"/>
  <cols>
    <col min="1" max="1" width="14.296875" bestFit="1" customWidth="1"/>
    <col min="2" max="2" width="11" bestFit="1" customWidth="1"/>
    <col min="3" max="3" width="6.19921875" bestFit="1" customWidth="1"/>
    <col min="4" max="4" width="7.296875" bestFit="1" customWidth="1"/>
    <col min="5" max="5" width="20" bestFit="1" customWidth="1"/>
    <col min="6" max="6" width="10.8984375" bestFit="1" customWidth="1"/>
    <col min="7" max="7" width="10.69921875" bestFit="1" customWidth="1"/>
    <col min="11" max="11" width="19.09765625" bestFit="1" customWidth="1"/>
  </cols>
  <sheetData>
    <row r="1" spans="1:11">
      <c r="A1" s="4" t="s">
        <v>0</v>
      </c>
      <c r="B1" s="4" t="s">
        <v>1</v>
      </c>
      <c r="C1" s="4" t="s">
        <v>2</v>
      </c>
      <c r="D1" s="4" t="s">
        <v>3</v>
      </c>
      <c r="E1" s="4" t="s">
        <v>4</v>
      </c>
      <c r="F1" s="4" t="s">
        <v>5</v>
      </c>
      <c r="G1" s="4" t="s">
        <v>6</v>
      </c>
      <c r="K1" s="6" t="s">
        <v>103</v>
      </c>
    </row>
    <row r="2" spans="1:11">
      <c r="A2" s="1" t="s">
        <v>7</v>
      </c>
      <c r="B2" s="1" t="s">
        <v>8</v>
      </c>
      <c r="C2" s="1">
        <v>28000</v>
      </c>
      <c r="D2" s="1">
        <v>3000</v>
      </c>
      <c r="E2" s="2" t="s">
        <v>9</v>
      </c>
      <c r="F2" s="3">
        <v>44239</v>
      </c>
      <c r="G2" s="1" t="s">
        <v>10</v>
      </c>
      <c r="K2" s="5" t="s">
        <v>88</v>
      </c>
    </row>
    <row r="3" spans="1:11">
      <c r="A3" s="1" t="s">
        <v>11</v>
      </c>
      <c r="B3" s="1" t="s">
        <v>12</v>
      </c>
      <c r="C3" s="1">
        <v>35000</v>
      </c>
      <c r="D3" s="1">
        <v>5000</v>
      </c>
      <c r="E3" s="2" t="s">
        <v>13</v>
      </c>
      <c r="F3" s="3">
        <v>44016</v>
      </c>
      <c r="G3" s="1" t="s">
        <v>14</v>
      </c>
      <c r="K3" s="5" t="s">
        <v>89</v>
      </c>
    </row>
    <row r="4" spans="1:11">
      <c r="A4" s="1" t="s">
        <v>15</v>
      </c>
      <c r="B4" s="1" t="s">
        <v>16</v>
      </c>
      <c r="C4" s="1">
        <v>26000</v>
      </c>
      <c r="D4" s="1">
        <v>2000</v>
      </c>
      <c r="E4" s="2" t="s">
        <v>17</v>
      </c>
      <c r="F4" s="3">
        <v>44884</v>
      </c>
      <c r="G4" s="1" t="s">
        <v>18</v>
      </c>
      <c r="K4" s="5" t="s">
        <v>90</v>
      </c>
    </row>
    <row r="5" spans="1:11">
      <c r="A5" s="1" t="s">
        <v>19</v>
      </c>
      <c r="B5" s="1" t="s">
        <v>20</v>
      </c>
      <c r="C5" s="1">
        <v>30000</v>
      </c>
      <c r="D5" s="1">
        <v>4000</v>
      </c>
      <c r="E5" s="2" t="s">
        <v>21</v>
      </c>
      <c r="F5" s="3">
        <v>44322</v>
      </c>
      <c r="G5" s="1" t="s">
        <v>22</v>
      </c>
      <c r="K5" s="5" t="s">
        <v>91</v>
      </c>
    </row>
    <row r="6" spans="1:11">
      <c r="A6" s="1" t="s">
        <v>23</v>
      </c>
      <c r="B6" s="1" t="s">
        <v>24</v>
      </c>
      <c r="C6" s="1">
        <v>32000</v>
      </c>
      <c r="D6" s="1">
        <v>3500</v>
      </c>
      <c r="E6" s="2" t="s">
        <v>25</v>
      </c>
      <c r="F6" s="3">
        <v>44927</v>
      </c>
      <c r="G6" s="1" t="s">
        <v>26</v>
      </c>
      <c r="I6">
        <f>SUMIF(B2:B31,B2,C2:C31)</f>
        <v>140000</v>
      </c>
      <c r="K6" s="5" t="s">
        <v>92</v>
      </c>
    </row>
    <row r="7" spans="1:11">
      <c r="A7" s="1" t="s">
        <v>27</v>
      </c>
      <c r="B7" s="1" t="s">
        <v>8</v>
      </c>
      <c r="C7" s="1">
        <v>27000</v>
      </c>
      <c r="D7" s="1">
        <v>2500</v>
      </c>
      <c r="E7" s="2" t="s">
        <v>28</v>
      </c>
      <c r="F7" s="3">
        <v>44066</v>
      </c>
      <c r="G7" s="1" t="s">
        <v>29</v>
      </c>
      <c r="H7" t="s">
        <v>31</v>
      </c>
      <c r="I7">
        <f>SUMIF($B$2:$B$31,B8,$C$2:$C$31)</f>
        <v>123000</v>
      </c>
      <c r="K7" s="5" t="s">
        <v>93</v>
      </c>
    </row>
    <row r="8" spans="1:11">
      <c r="A8" s="1" t="s">
        <v>30</v>
      </c>
      <c r="B8" s="1" t="s">
        <v>31</v>
      </c>
      <c r="C8" s="1">
        <v>31000</v>
      </c>
      <c r="D8" s="1">
        <v>3000</v>
      </c>
      <c r="E8" s="2" t="s">
        <v>32</v>
      </c>
      <c r="F8" s="3">
        <v>44834</v>
      </c>
      <c r="G8" s="1" t="s">
        <v>33</v>
      </c>
      <c r="H8" t="s">
        <v>8</v>
      </c>
      <c r="I8">
        <f>SUMIF($B$2:$B$31,B7,$C$2:$C$31)</f>
        <v>140000</v>
      </c>
      <c r="K8" s="5" t="s">
        <v>94</v>
      </c>
    </row>
    <row r="9" spans="1:11">
      <c r="A9" s="1" t="s">
        <v>34</v>
      </c>
      <c r="B9" s="1" t="s">
        <v>12</v>
      </c>
      <c r="C9" s="1">
        <v>36000</v>
      </c>
      <c r="D9" s="1">
        <v>6000</v>
      </c>
      <c r="E9" s="2" t="s">
        <v>35</v>
      </c>
      <c r="F9" s="3">
        <v>44541</v>
      </c>
      <c r="G9" s="1" t="s">
        <v>36</v>
      </c>
      <c r="H9" t="s">
        <v>20</v>
      </c>
      <c r="I9">
        <f>SUMIF($B$2:$B$31,B19,$C$2:$C$31)</f>
        <v>121000</v>
      </c>
      <c r="K9" s="5" t="s">
        <v>95</v>
      </c>
    </row>
    <row r="10" spans="1:11">
      <c r="A10" s="1" t="s">
        <v>37</v>
      </c>
      <c r="B10" s="1" t="s">
        <v>16</v>
      </c>
      <c r="C10" s="1">
        <v>25500</v>
      </c>
      <c r="D10" s="1">
        <v>1800</v>
      </c>
      <c r="E10" s="2" t="s">
        <v>38</v>
      </c>
      <c r="F10" s="3">
        <v>45003</v>
      </c>
      <c r="G10" s="1" t="s">
        <v>39</v>
      </c>
      <c r="H10" t="s">
        <v>24</v>
      </c>
      <c r="I10">
        <f>SUMIF($B$2:$B$31,B15,$C$2:$C$31)</f>
        <v>131000</v>
      </c>
      <c r="K10" s="5" t="s">
        <v>96</v>
      </c>
    </row>
    <row r="11" spans="1:11">
      <c r="A11" s="1" t="s">
        <v>40</v>
      </c>
      <c r="B11" s="1" t="s">
        <v>8</v>
      </c>
      <c r="C11" s="1">
        <v>29000</v>
      </c>
      <c r="D11" s="1">
        <v>2500</v>
      </c>
      <c r="E11" s="2" t="s">
        <v>41</v>
      </c>
      <c r="F11" s="3">
        <v>44203</v>
      </c>
      <c r="G11" s="1" t="s">
        <v>42</v>
      </c>
      <c r="K11" s="5" t="s">
        <v>97</v>
      </c>
    </row>
    <row r="12" spans="1:11">
      <c r="A12" s="1" t="s">
        <v>43</v>
      </c>
      <c r="B12" s="1" t="s">
        <v>44</v>
      </c>
      <c r="C12" s="1">
        <v>40000</v>
      </c>
      <c r="D12" s="1">
        <v>7000</v>
      </c>
      <c r="E12" s="2" t="s">
        <v>45</v>
      </c>
      <c r="F12" s="3">
        <v>44665</v>
      </c>
      <c r="G12" s="1" t="s">
        <v>46</v>
      </c>
      <c r="K12" s="5" t="s">
        <v>98</v>
      </c>
    </row>
    <row r="13" spans="1:11">
      <c r="A13" s="1" t="s">
        <v>47</v>
      </c>
      <c r="B13" s="1" t="s">
        <v>31</v>
      </c>
      <c r="C13" s="1">
        <v>30500</v>
      </c>
      <c r="D13" s="1">
        <v>3200</v>
      </c>
      <c r="E13" s="2" t="s">
        <v>48</v>
      </c>
      <c r="F13" s="3">
        <v>44083</v>
      </c>
      <c r="G13" s="1" t="s">
        <v>49</v>
      </c>
      <c r="K13" s="5" t="s">
        <v>99</v>
      </c>
    </row>
    <row r="14" spans="1:11">
      <c r="A14" s="1" t="s">
        <v>50</v>
      </c>
      <c r="B14" s="1" t="s">
        <v>20</v>
      </c>
      <c r="C14" s="1">
        <v>29500</v>
      </c>
      <c r="D14" s="1">
        <v>2800</v>
      </c>
      <c r="E14" s="2" t="s">
        <v>51</v>
      </c>
      <c r="F14" s="3">
        <v>44982</v>
      </c>
      <c r="G14" s="1" t="s">
        <v>52</v>
      </c>
      <c r="K14" s="5" t="s">
        <v>100</v>
      </c>
    </row>
    <row r="15" spans="1:11">
      <c r="A15" s="1" t="s">
        <v>53</v>
      </c>
      <c r="B15" s="1" t="s">
        <v>24</v>
      </c>
      <c r="C15" s="1">
        <v>33000</v>
      </c>
      <c r="D15" s="1">
        <v>4000</v>
      </c>
      <c r="E15" s="2" t="s">
        <v>54</v>
      </c>
      <c r="F15" s="3">
        <v>44491</v>
      </c>
      <c r="G15" s="1" t="s">
        <v>18</v>
      </c>
      <c r="K15" s="5" t="s">
        <v>101</v>
      </c>
    </row>
    <row r="16" spans="1:11">
      <c r="A16" s="1" t="s">
        <v>55</v>
      </c>
      <c r="B16" s="1" t="s">
        <v>44</v>
      </c>
      <c r="C16" s="1">
        <v>42000</v>
      </c>
      <c r="D16" s="1">
        <v>7500</v>
      </c>
      <c r="E16" s="2" t="s">
        <v>56</v>
      </c>
      <c r="F16" s="3">
        <v>43985</v>
      </c>
      <c r="G16" s="1" t="s">
        <v>10</v>
      </c>
      <c r="K16" s="5" t="s">
        <v>102</v>
      </c>
    </row>
    <row r="17" spans="1:11">
      <c r="A17" s="1" t="s">
        <v>57</v>
      </c>
      <c r="B17" s="1" t="s">
        <v>16</v>
      </c>
      <c r="C17" s="1">
        <v>26500</v>
      </c>
      <c r="D17" s="1">
        <v>2100</v>
      </c>
      <c r="E17" s="2" t="s">
        <v>58</v>
      </c>
      <c r="F17" s="3">
        <v>44590</v>
      </c>
      <c r="G17" s="1" t="s">
        <v>14</v>
      </c>
      <c r="K17" s="5" t="s">
        <v>124</v>
      </c>
    </row>
    <row r="18" spans="1:11">
      <c r="A18" s="1" t="s">
        <v>59</v>
      </c>
      <c r="B18" s="1" t="s">
        <v>8</v>
      </c>
      <c r="C18" s="1">
        <v>27500</v>
      </c>
      <c r="D18" s="1">
        <v>2200</v>
      </c>
      <c r="E18" s="2" t="s">
        <v>60</v>
      </c>
      <c r="F18" s="3">
        <v>45143</v>
      </c>
      <c r="G18" s="1" t="s">
        <v>10</v>
      </c>
    </row>
    <row r="19" spans="1:11">
      <c r="A19" s="1" t="s">
        <v>61</v>
      </c>
      <c r="B19" s="1" t="s">
        <v>20</v>
      </c>
      <c r="C19" s="1">
        <v>31000</v>
      </c>
      <c r="D19" s="1">
        <v>3500</v>
      </c>
      <c r="E19" s="2" t="s">
        <v>62</v>
      </c>
      <c r="F19" s="3">
        <v>44512</v>
      </c>
      <c r="G19" s="1" t="s">
        <v>63</v>
      </c>
    </row>
    <row r="20" spans="1:11">
      <c r="A20" s="1" t="s">
        <v>64</v>
      </c>
      <c r="B20" s="1" t="s">
        <v>12</v>
      </c>
      <c r="C20" s="1">
        <v>34500</v>
      </c>
      <c r="D20" s="1">
        <v>4500</v>
      </c>
      <c r="E20" s="2" t="s">
        <v>65</v>
      </c>
      <c r="F20" s="3">
        <v>43900</v>
      </c>
      <c r="G20" s="1" t="s">
        <v>22</v>
      </c>
    </row>
    <row r="21" spans="1:11">
      <c r="A21" s="1" t="s">
        <v>66</v>
      </c>
      <c r="B21" s="1" t="s">
        <v>31</v>
      </c>
      <c r="C21" s="1">
        <v>31500</v>
      </c>
      <c r="D21" s="1">
        <v>2900</v>
      </c>
      <c r="E21" s="2" t="s">
        <v>67</v>
      </c>
      <c r="F21" s="3">
        <v>44897</v>
      </c>
      <c r="G21" s="1" t="s">
        <v>36</v>
      </c>
    </row>
    <row r="22" spans="1:11">
      <c r="A22" s="1" t="s">
        <v>68</v>
      </c>
      <c r="B22" s="1" t="s">
        <v>44</v>
      </c>
      <c r="C22" s="1">
        <v>41000</v>
      </c>
      <c r="D22" s="1">
        <v>7000</v>
      </c>
      <c r="E22" s="2" t="s">
        <v>69</v>
      </c>
      <c r="F22" s="3">
        <v>44405</v>
      </c>
      <c r="G22" s="1" t="s">
        <v>33</v>
      </c>
    </row>
    <row r="23" spans="1:11">
      <c r="A23" s="1" t="s">
        <v>70</v>
      </c>
      <c r="B23" s="1" t="s">
        <v>24</v>
      </c>
      <c r="C23" s="1">
        <v>32500</v>
      </c>
      <c r="D23" s="1">
        <v>3000</v>
      </c>
      <c r="E23" s="2" t="s">
        <v>71</v>
      </c>
      <c r="F23" s="3">
        <v>44083</v>
      </c>
      <c r="G23" s="1" t="s">
        <v>39</v>
      </c>
    </row>
    <row r="24" spans="1:11">
      <c r="A24" s="1" t="s">
        <v>72</v>
      </c>
      <c r="B24" s="1" t="s">
        <v>8</v>
      </c>
      <c r="C24" s="1">
        <v>28500</v>
      </c>
      <c r="D24" s="1">
        <v>2600</v>
      </c>
      <c r="E24" s="2" t="s">
        <v>73</v>
      </c>
      <c r="F24" s="3">
        <v>45032</v>
      </c>
      <c r="G24" s="1" t="s">
        <v>63</v>
      </c>
    </row>
    <row r="25" spans="1:11">
      <c r="A25" s="1" t="s">
        <v>74</v>
      </c>
      <c r="B25" s="1" t="s">
        <v>12</v>
      </c>
      <c r="C25" s="1">
        <v>35500</v>
      </c>
      <c r="D25" s="1">
        <v>4800</v>
      </c>
      <c r="E25" s="2" t="s">
        <v>75</v>
      </c>
      <c r="F25" s="3">
        <v>44228</v>
      </c>
      <c r="G25" s="1" t="s">
        <v>52</v>
      </c>
    </row>
    <row r="26" spans="1:11">
      <c r="A26" s="1" t="s">
        <v>76</v>
      </c>
      <c r="B26" s="1" t="s">
        <v>31</v>
      </c>
      <c r="C26" s="1">
        <v>30000</v>
      </c>
      <c r="D26" s="1">
        <v>2500</v>
      </c>
      <c r="E26" s="2" t="s">
        <v>77</v>
      </c>
      <c r="F26" s="3">
        <v>44878</v>
      </c>
      <c r="G26" s="1" t="s">
        <v>29</v>
      </c>
    </row>
    <row r="27" spans="1:11">
      <c r="A27" s="1" t="s">
        <v>78</v>
      </c>
      <c r="B27" s="1" t="s">
        <v>20</v>
      </c>
      <c r="C27" s="1">
        <v>30500</v>
      </c>
      <c r="D27" s="1">
        <v>3300</v>
      </c>
      <c r="E27" s="2" t="s">
        <v>79</v>
      </c>
      <c r="F27" s="3">
        <v>44192</v>
      </c>
      <c r="G27" s="1" t="s">
        <v>46</v>
      </c>
    </row>
    <row r="28" spans="1:11">
      <c r="A28" s="1" t="s">
        <v>80</v>
      </c>
      <c r="B28" s="1" t="s">
        <v>16</v>
      </c>
      <c r="C28" s="1">
        <v>27000</v>
      </c>
      <c r="D28" s="1">
        <v>2200</v>
      </c>
      <c r="E28" s="2" t="s">
        <v>81</v>
      </c>
      <c r="F28" s="3">
        <v>45054</v>
      </c>
      <c r="G28" s="1" t="s">
        <v>18</v>
      </c>
    </row>
    <row r="29" spans="1:11">
      <c r="A29" s="1" t="s">
        <v>82</v>
      </c>
      <c r="B29" s="1" t="s">
        <v>44</v>
      </c>
      <c r="C29" s="1">
        <v>39500</v>
      </c>
      <c r="D29" s="1">
        <v>6800</v>
      </c>
      <c r="E29" s="2" t="s">
        <v>83</v>
      </c>
      <c r="F29" s="3">
        <v>44398</v>
      </c>
      <c r="G29" s="1" t="s">
        <v>10</v>
      </c>
    </row>
    <row r="30" spans="1:11">
      <c r="A30" s="1" t="s">
        <v>84</v>
      </c>
      <c r="B30" s="1" t="s">
        <v>24</v>
      </c>
      <c r="C30" s="1">
        <v>33500</v>
      </c>
      <c r="D30" s="1">
        <v>4200</v>
      </c>
      <c r="E30" s="2" t="s">
        <v>85</v>
      </c>
      <c r="F30" s="3">
        <v>44565</v>
      </c>
      <c r="G30" s="1" t="s">
        <v>22</v>
      </c>
    </row>
    <row r="31" spans="1:11">
      <c r="A31" s="1" t="s">
        <v>86</v>
      </c>
      <c r="B31" s="1" t="s">
        <v>12</v>
      </c>
      <c r="C31" s="1">
        <v>34000</v>
      </c>
      <c r="D31" s="1">
        <v>4300</v>
      </c>
      <c r="E31" s="2" t="s">
        <v>87</v>
      </c>
      <c r="F31" s="3">
        <v>43908</v>
      </c>
      <c r="G31" s="1" t="s">
        <v>14</v>
      </c>
    </row>
    <row r="32" spans="1:11">
      <c r="C32">
        <f>AVERAGE(C2:C31)</f>
        <v>31916.666666666668</v>
      </c>
      <c r="D32">
        <f>SUM(D2:D31)</f>
        <v>113700</v>
      </c>
    </row>
  </sheetData>
  <conditionalFormatting sqref="C2:C31">
    <cfRule type="aboveAverage" dxfId="0" priority="1"/>
  </conditionalFormatting>
  <hyperlinks>
    <hyperlink ref="E2" r:id="rId1" display="mailto:rahul.k@office.com"/>
    <hyperlink ref="E3" r:id="rId2" display="mailto:ankita.s@office.com"/>
    <hyperlink ref="E4" r:id="rId3" display="mailto:mohit.v@office.com"/>
    <hyperlink ref="E5" r:id="rId4" display="mailto:priya.s@office.com"/>
    <hyperlink ref="E6" r:id="rId5" display="mailto:sandeep.y@office.com"/>
    <hyperlink ref="E7" r:id="rId6" display="mailto:riya.m@office.com"/>
    <hyperlink ref="E8" r:id="rId7" display="mailto:amit.t@office.com"/>
    <hyperlink ref="E9" r:id="rId8" display="mailto:neha.k@office.com"/>
    <hyperlink ref="E10" r:id="rId9" display="mailto:arjun.r@office.com"/>
    <hyperlink ref="E11" r:id="rId10" display="mailto:divya.c@office.com"/>
    <hyperlink ref="E12" r:id="rId11" display="mailto:karan.p@office.com"/>
    <hyperlink ref="E13" r:id="rId12" display="mailto:sneha.j@office.com"/>
    <hyperlink ref="E14" r:id="rId13" display="mailto:rohit.m@office.com"/>
    <hyperlink ref="E15" r:id="rId14" display="mailto:megha.j@office.com"/>
    <hyperlink ref="E16" r:id="rId15" display="mailto:harshit.g@office.com"/>
    <hyperlink ref="E17" r:id="rId16" display="mailto:pooja.s@office.com"/>
    <hyperlink ref="E18" r:id="rId17" display="mailto:varun.s@office.com"/>
    <hyperlink ref="E19" r:id="rId18" display="mailto:nikita.r@office.com"/>
    <hyperlink ref="E20" r:id="rId19" display="mailto:shivam.a@office.com"/>
    <hyperlink ref="E21" r:id="rId20" display="mailto:sonia.b@office.com"/>
    <hyperlink ref="E22" r:id="rId21" display="mailto:yash.t@office.com"/>
    <hyperlink ref="E23" r:id="rId22" display="mailto:payal.d@office.com"/>
    <hyperlink ref="E24" r:id="rId23" display="mailto:abhishek.r@office.com"/>
    <hyperlink ref="E25" r:id="rId24" display="mailto:simran.k@office.com"/>
    <hyperlink ref="E26" r:id="rId25" display="mailto:deepak.j@office.com"/>
    <hyperlink ref="E27" r:id="rId26" display="mailto:shreya.s@office.com"/>
    <hyperlink ref="E28" r:id="rId27" display="mailto:manish.k@office.com"/>
    <hyperlink ref="E29" r:id="rId28" display="mailto:aarav.g@office.com"/>
    <hyperlink ref="E30" r:id="rId29" display="mailto:tanya.v@office.com"/>
    <hyperlink ref="E31" r:id="rId30" display="mailto:jay.m@office.c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zoomScale="130" zoomScaleNormal="130" workbookViewId="0">
      <selection activeCell="J17" sqref="J17"/>
    </sheetView>
  </sheetViews>
  <sheetFormatPr defaultRowHeight="13.8"/>
  <cols>
    <col min="1" max="1" width="14.796875" bestFit="1" customWidth="1"/>
    <col min="2" max="2" width="12.296875" customWidth="1"/>
    <col min="3" max="3" width="17.796875" bestFit="1" customWidth="1"/>
    <col min="4" max="4" width="8" customWidth="1"/>
    <col min="5" max="5" width="9.19921875" customWidth="1"/>
    <col min="6" max="6" width="20" bestFit="1" customWidth="1"/>
    <col min="7" max="8" width="12.296875" customWidth="1"/>
    <col min="10" max="10" width="10.3984375" customWidth="1"/>
  </cols>
  <sheetData>
    <row r="1" spans="1:9">
      <c r="A1" s="4" t="s">
        <v>0</v>
      </c>
      <c r="B1" s="4" t="s">
        <v>104</v>
      </c>
      <c r="C1" s="4" t="s">
        <v>1</v>
      </c>
      <c r="D1" s="4" t="s">
        <v>2</v>
      </c>
      <c r="E1" s="4" t="s">
        <v>3</v>
      </c>
      <c r="F1" s="4" t="s">
        <v>4</v>
      </c>
      <c r="G1" s="4" t="s">
        <v>5</v>
      </c>
      <c r="H1" s="4" t="s">
        <v>6</v>
      </c>
    </row>
    <row r="2" spans="1:9">
      <c r="A2" s="1" t="s">
        <v>7</v>
      </c>
      <c r="B2" s="1" t="s">
        <v>105</v>
      </c>
      <c r="C2" s="1" t="s">
        <v>8</v>
      </c>
      <c r="D2" s="1">
        <v>28000</v>
      </c>
      <c r="E2" s="1">
        <v>3000</v>
      </c>
      <c r="F2" s="2" t="s">
        <v>9</v>
      </c>
      <c r="G2" s="3">
        <v>44239</v>
      </c>
      <c r="H2" s="1" t="s">
        <v>10</v>
      </c>
      <c r="I2">
        <f t="shared" ref="I2:I18" si="0">VLOOKUP(A2,chetan,4,0)</f>
        <v>28000</v>
      </c>
    </row>
    <row r="3" spans="1:9">
      <c r="A3" s="1" t="s">
        <v>11</v>
      </c>
      <c r="B3" s="1" t="s">
        <v>106</v>
      </c>
      <c r="C3" s="1" t="s">
        <v>12</v>
      </c>
      <c r="D3" s="1">
        <v>35000</v>
      </c>
      <c r="E3" s="1">
        <v>5000</v>
      </c>
      <c r="F3" s="2" t="s">
        <v>13</v>
      </c>
      <c r="G3" s="3">
        <v>44016</v>
      </c>
      <c r="H3" s="1" t="s">
        <v>14</v>
      </c>
      <c r="I3">
        <f t="shared" si="0"/>
        <v>35000</v>
      </c>
    </row>
    <row r="4" spans="1:9">
      <c r="A4" s="1" t="s">
        <v>15</v>
      </c>
      <c r="B4" s="1" t="s">
        <v>107</v>
      </c>
      <c r="C4" s="1" t="s">
        <v>16</v>
      </c>
      <c r="D4" s="1">
        <v>26000</v>
      </c>
      <c r="E4" s="1">
        <v>2000</v>
      </c>
      <c r="F4" s="2" t="s">
        <v>17</v>
      </c>
      <c r="G4" s="3">
        <v>44884</v>
      </c>
      <c r="H4" s="1" t="s">
        <v>18</v>
      </c>
      <c r="I4">
        <f t="shared" si="0"/>
        <v>26000</v>
      </c>
    </row>
    <row r="5" spans="1:9">
      <c r="A5" s="1" t="s">
        <v>19</v>
      </c>
      <c r="B5" s="1" t="s">
        <v>108</v>
      </c>
      <c r="C5" s="1" t="s">
        <v>20</v>
      </c>
      <c r="D5" s="1">
        <v>30000</v>
      </c>
      <c r="E5" s="1">
        <v>4000</v>
      </c>
      <c r="F5" s="2" t="s">
        <v>21</v>
      </c>
      <c r="G5" s="3">
        <v>44322</v>
      </c>
      <c r="H5" s="1" t="s">
        <v>22</v>
      </c>
      <c r="I5">
        <f t="shared" si="0"/>
        <v>30000</v>
      </c>
    </row>
    <row r="6" spans="1:9">
      <c r="A6" s="1" t="s">
        <v>23</v>
      </c>
      <c r="B6" s="1" t="s">
        <v>109</v>
      </c>
      <c r="C6" s="1" t="s">
        <v>24</v>
      </c>
      <c r="D6" s="1">
        <v>32000</v>
      </c>
      <c r="E6" s="1">
        <v>3500</v>
      </c>
      <c r="F6" s="2" t="s">
        <v>25</v>
      </c>
      <c r="G6" s="3">
        <v>44927</v>
      </c>
      <c r="H6" s="1" t="s">
        <v>26</v>
      </c>
      <c r="I6">
        <f t="shared" si="0"/>
        <v>32000</v>
      </c>
    </row>
    <row r="7" spans="1:9">
      <c r="A7" s="1" t="s">
        <v>27</v>
      </c>
      <c r="B7" s="1" t="s">
        <v>110</v>
      </c>
      <c r="C7" s="1" t="s">
        <v>8</v>
      </c>
      <c r="D7" s="1">
        <v>27000</v>
      </c>
      <c r="E7" s="1">
        <v>2500</v>
      </c>
      <c r="F7" s="2" t="s">
        <v>28</v>
      </c>
      <c r="G7" s="3">
        <v>44066</v>
      </c>
      <c r="H7" s="1" t="s">
        <v>29</v>
      </c>
      <c r="I7">
        <f t="shared" si="0"/>
        <v>27000</v>
      </c>
    </row>
    <row r="8" spans="1:9">
      <c r="A8" s="1" t="s">
        <v>30</v>
      </c>
      <c r="B8" s="1" t="s">
        <v>111</v>
      </c>
      <c r="C8" s="1" t="s">
        <v>31</v>
      </c>
      <c r="D8" s="1">
        <v>31000</v>
      </c>
      <c r="E8" s="1">
        <v>3000</v>
      </c>
      <c r="F8" s="2" t="s">
        <v>32</v>
      </c>
      <c r="G8" s="3">
        <v>44834</v>
      </c>
      <c r="H8" s="1" t="s">
        <v>33</v>
      </c>
      <c r="I8">
        <f t="shared" si="0"/>
        <v>31000</v>
      </c>
    </row>
    <row r="9" spans="1:9">
      <c r="A9" s="1" t="s">
        <v>34</v>
      </c>
      <c r="B9" s="1" t="s">
        <v>112</v>
      </c>
      <c r="C9" s="1" t="s">
        <v>12</v>
      </c>
      <c r="D9" s="1">
        <v>36000</v>
      </c>
      <c r="E9" s="1">
        <v>6000</v>
      </c>
      <c r="F9" s="2" t="s">
        <v>35</v>
      </c>
      <c r="G9" s="3">
        <v>44541</v>
      </c>
      <c r="H9" s="1" t="s">
        <v>36</v>
      </c>
      <c r="I9">
        <f t="shared" si="0"/>
        <v>36000</v>
      </c>
    </row>
    <row r="10" spans="1:9">
      <c r="A10" s="1" t="s">
        <v>37</v>
      </c>
      <c r="B10" s="1" t="s">
        <v>113</v>
      </c>
      <c r="C10" s="1" t="s">
        <v>16</v>
      </c>
      <c r="D10" s="1">
        <v>25500</v>
      </c>
      <c r="E10" s="1">
        <v>1800</v>
      </c>
      <c r="F10" s="2" t="s">
        <v>38</v>
      </c>
      <c r="G10" s="3">
        <v>45003</v>
      </c>
      <c r="H10" s="1" t="s">
        <v>39</v>
      </c>
      <c r="I10">
        <f t="shared" si="0"/>
        <v>25500</v>
      </c>
    </row>
    <row r="11" spans="1:9">
      <c r="A11" s="1" t="s">
        <v>40</v>
      </c>
      <c r="B11" s="1" t="s">
        <v>114</v>
      </c>
      <c r="C11" s="1" t="s">
        <v>8</v>
      </c>
      <c r="D11" s="1">
        <v>29000</v>
      </c>
      <c r="E11" s="1">
        <v>2500</v>
      </c>
      <c r="F11" s="2" t="s">
        <v>41</v>
      </c>
      <c r="G11" s="3">
        <v>44203</v>
      </c>
      <c r="H11" s="1" t="s">
        <v>42</v>
      </c>
      <c r="I11">
        <f t="shared" si="0"/>
        <v>29000</v>
      </c>
    </row>
    <row r="12" spans="1:9">
      <c r="A12" s="1" t="s">
        <v>43</v>
      </c>
      <c r="B12" s="1" t="s">
        <v>115</v>
      </c>
      <c r="C12" s="1" t="s">
        <v>44</v>
      </c>
      <c r="D12" s="1">
        <v>40000</v>
      </c>
      <c r="E12" s="1">
        <v>7000</v>
      </c>
      <c r="F12" s="2" t="s">
        <v>45</v>
      </c>
      <c r="G12" s="3">
        <v>44665</v>
      </c>
      <c r="H12" s="1" t="s">
        <v>46</v>
      </c>
      <c r="I12">
        <f t="shared" si="0"/>
        <v>40000</v>
      </c>
    </row>
    <row r="13" spans="1:9">
      <c r="A13" s="1" t="s">
        <v>47</v>
      </c>
      <c r="B13" s="1" t="s">
        <v>116</v>
      </c>
      <c r="C13" s="1" t="s">
        <v>31</v>
      </c>
      <c r="D13" s="1">
        <v>30500</v>
      </c>
      <c r="E13" s="1">
        <v>3200</v>
      </c>
      <c r="F13" s="2" t="s">
        <v>48</v>
      </c>
      <c r="G13" s="3">
        <v>44083</v>
      </c>
      <c r="H13" s="1" t="s">
        <v>49</v>
      </c>
      <c r="I13">
        <f t="shared" si="0"/>
        <v>30500</v>
      </c>
    </row>
    <row r="14" spans="1:9">
      <c r="A14" s="1" t="s">
        <v>50</v>
      </c>
      <c r="B14" s="1" t="s">
        <v>117</v>
      </c>
      <c r="C14" s="1" t="s">
        <v>20</v>
      </c>
      <c r="D14" s="1">
        <v>29500</v>
      </c>
      <c r="E14" s="1">
        <v>2800</v>
      </c>
      <c r="F14" s="2" t="s">
        <v>51</v>
      </c>
      <c r="G14" s="3">
        <v>44982</v>
      </c>
      <c r="H14" s="1" t="s">
        <v>52</v>
      </c>
      <c r="I14">
        <f t="shared" si="0"/>
        <v>29500</v>
      </c>
    </row>
    <row r="15" spans="1:9">
      <c r="A15" s="1" t="s">
        <v>53</v>
      </c>
      <c r="B15" s="1" t="s">
        <v>118</v>
      </c>
      <c r="C15" s="1" t="s">
        <v>24</v>
      </c>
      <c r="D15" s="1">
        <v>33000</v>
      </c>
      <c r="E15" s="1">
        <v>4000</v>
      </c>
      <c r="F15" s="2" t="s">
        <v>54</v>
      </c>
      <c r="G15" s="3">
        <v>44491</v>
      </c>
      <c r="H15" s="1" t="s">
        <v>18</v>
      </c>
      <c r="I15">
        <f t="shared" si="0"/>
        <v>33000</v>
      </c>
    </row>
    <row r="16" spans="1:9">
      <c r="A16" s="1" t="s">
        <v>55</v>
      </c>
      <c r="B16" s="1" t="s">
        <v>119</v>
      </c>
      <c r="C16" s="1" t="s">
        <v>44</v>
      </c>
      <c r="D16" s="1">
        <v>42000</v>
      </c>
      <c r="E16" s="1">
        <v>7500</v>
      </c>
      <c r="F16" s="2" t="s">
        <v>56</v>
      </c>
      <c r="G16" s="3">
        <v>43985</v>
      </c>
      <c r="H16" s="1" t="s">
        <v>10</v>
      </c>
      <c r="I16">
        <f t="shared" si="0"/>
        <v>42000</v>
      </c>
    </row>
    <row r="17" spans="1:10">
      <c r="A17" s="1" t="s">
        <v>57</v>
      </c>
      <c r="B17" s="1" t="s">
        <v>120</v>
      </c>
      <c r="C17" s="1" t="s">
        <v>16</v>
      </c>
      <c r="D17" s="1">
        <v>26500</v>
      </c>
      <c r="E17" s="1">
        <v>2100</v>
      </c>
      <c r="F17" s="2" t="s">
        <v>58</v>
      </c>
      <c r="G17" s="3">
        <v>44590</v>
      </c>
      <c r="H17" s="1" t="s">
        <v>14</v>
      </c>
      <c r="I17">
        <f t="shared" si="0"/>
        <v>26500</v>
      </c>
    </row>
    <row r="18" spans="1:10">
      <c r="A18" s="1" t="s">
        <v>59</v>
      </c>
      <c r="B18" s="1" t="s">
        <v>121</v>
      </c>
      <c r="C18" s="1" t="s">
        <v>8</v>
      </c>
      <c r="D18" s="1">
        <v>27500</v>
      </c>
      <c r="E18" s="1">
        <v>2200</v>
      </c>
      <c r="F18" s="2" t="s">
        <v>60</v>
      </c>
      <c r="G18" s="3">
        <v>45143</v>
      </c>
      <c r="H18" s="1" t="s">
        <v>10</v>
      </c>
      <c r="I18">
        <f t="shared" si="0"/>
        <v>27500</v>
      </c>
    </row>
    <row r="22" spans="1:10">
      <c r="C22" s="8" t="s">
        <v>122</v>
      </c>
      <c r="D22" s="8" t="s">
        <v>2</v>
      </c>
      <c r="F22" s="8" t="s">
        <v>122</v>
      </c>
      <c r="G22" s="8" t="s">
        <v>2</v>
      </c>
      <c r="H22" s="8" t="s">
        <v>3</v>
      </c>
      <c r="I22" s="8" t="s">
        <v>4</v>
      </c>
      <c r="J22" s="8" t="s">
        <v>1</v>
      </c>
    </row>
    <row r="23" spans="1:10">
      <c r="C23" s="7" t="s">
        <v>40</v>
      </c>
      <c r="D23" s="5">
        <f>VLOOKUP(C23,$A$2:$H$18,4,0)</f>
        <v>29000</v>
      </c>
      <c r="F23" s="7" t="s">
        <v>40</v>
      </c>
      <c r="G23" s="5"/>
      <c r="H23" s="5"/>
      <c r="I23" s="5"/>
      <c r="J23" s="5"/>
    </row>
    <row r="24" spans="1:10">
      <c r="C24" s="7" t="s">
        <v>43</v>
      </c>
      <c r="D24" s="5">
        <f t="shared" ref="D24:D32" si="1">VLOOKUP(C24,$A$2:$H$18,4,0)</f>
        <v>40000</v>
      </c>
      <c r="F24" s="7" t="s">
        <v>43</v>
      </c>
      <c r="G24" s="5"/>
      <c r="H24" s="5"/>
      <c r="I24" s="5"/>
      <c r="J24" s="5"/>
    </row>
    <row r="25" spans="1:10">
      <c r="C25" s="7" t="s">
        <v>47</v>
      </c>
      <c r="D25" s="5">
        <f t="shared" si="1"/>
        <v>30500</v>
      </c>
      <c r="F25" s="7" t="s">
        <v>47</v>
      </c>
      <c r="G25" s="5"/>
      <c r="H25" s="5"/>
      <c r="I25" s="5"/>
      <c r="J25" s="5"/>
    </row>
    <row r="26" spans="1:10">
      <c r="C26" s="7" t="s">
        <v>50</v>
      </c>
      <c r="D26" s="5">
        <f t="shared" si="1"/>
        <v>29500</v>
      </c>
      <c r="F26" s="7" t="s">
        <v>50</v>
      </c>
      <c r="G26" s="5"/>
      <c r="H26" s="5"/>
      <c r="I26" s="5"/>
      <c r="J26" s="5"/>
    </row>
    <row r="27" spans="1:10">
      <c r="C27" s="7" t="s">
        <v>53</v>
      </c>
      <c r="D27" s="5">
        <f t="shared" si="1"/>
        <v>33000</v>
      </c>
      <c r="F27" s="7" t="s">
        <v>53</v>
      </c>
      <c r="G27" s="5"/>
      <c r="H27" s="5"/>
      <c r="I27" s="5"/>
      <c r="J27" s="5"/>
    </row>
    <row r="28" spans="1:10">
      <c r="C28" s="7" t="s">
        <v>55</v>
      </c>
      <c r="D28" s="5">
        <f t="shared" si="1"/>
        <v>42000</v>
      </c>
      <c r="F28" s="7" t="s">
        <v>55</v>
      </c>
      <c r="G28" s="5"/>
      <c r="H28" s="5"/>
      <c r="I28" s="5"/>
      <c r="J28" s="5"/>
    </row>
    <row r="29" spans="1:10">
      <c r="C29" s="7" t="s">
        <v>7</v>
      </c>
      <c r="D29" s="5">
        <f t="shared" si="1"/>
        <v>28000</v>
      </c>
      <c r="F29" s="7" t="s">
        <v>7</v>
      </c>
      <c r="G29" s="5"/>
      <c r="H29" s="5"/>
      <c r="I29" s="5"/>
      <c r="J29" s="5"/>
    </row>
    <row r="30" spans="1:10">
      <c r="C30" s="7" t="s">
        <v>11</v>
      </c>
      <c r="D30" s="5">
        <f t="shared" si="1"/>
        <v>35000</v>
      </c>
      <c r="F30" s="7" t="s">
        <v>11</v>
      </c>
      <c r="G30" s="5"/>
      <c r="H30" s="5"/>
      <c r="I30" s="5"/>
      <c r="J30" s="5"/>
    </row>
    <row r="31" spans="1:10">
      <c r="C31" s="7" t="s">
        <v>15</v>
      </c>
      <c r="D31" s="5">
        <f t="shared" si="1"/>
        <v>26000</v>
      </c>
      <c r="F31" s="7" t="s">
        <v>15</v>
      </c>
      <c r="G31" s="5"/>
      <c r="H31" s="5"/>
      <c r="I31" s="5"/>
      <c r="J31" s="5"/>
    </row>
    <row r="32" spans="1:10">
      <c r="C32" s="7" t="s">
        <v>19</v>
      </c>
      <c r="D32" s="5">
        <f t="shared" si="1"/>
        <v>30000</v>
      </c>
      <c r="F32" s="7" t="s">
        <v>19</v>
      </c>
      <c r="G32" s="5"/>
      <c r="H32" s="5"/>
      <c r="I32" s="5"/>
      <c r="J32" s="5"/>
    </row>
    <row r="33" spans="3:10">
      <c r="C33" s="7" t="s">
        <v>23</v>
      </c>
      <c r="D33" s="5">
        <f>VLOOKUP(C33,$A$2:$H$18,4,0)</f>
        <v>32000</v>
      </c>
      <c r="F33" s="7" t="s">
        <v>23</v>
      </c>
      <c r="G33" s="5"/>
      <c r="H33" s="5"/>
      <c r="I33" s="5"/>
      <c r="J33" s="5"/>
    </row>
    <row r="34" spans="3:10">
      <c r="C34" s="7" t="s">
        <v>27</v>
      </c>
      <c r="D34" s="5">
        <f>VLOOKUP(C34,$A$2:$H$18,4,0)</f>
        <v>27000</v>
      </c>
      <c r="F34" s="7" t="s">
        <v>27</v>
      </c>
      <c r="G34" s="5"/>
      <c r="H34" s="5"/>
      <c r="I34" s="5"/>
      <c r="J34" s="5"/>
    </row>
    <row r="37" spans="3:10">
      <c r="C37" s="8" t="s">
        <v>123</v>
      </c>
      <c r="D37" s="8" t="s">
        <v>2</v>
      </c>
    </row>
    <row r="38" spans="3:10">
      <c r="C38" s="7" t="s">
        <v>111</v>
      </c>
      <c r="D38" s="5">
        <f>VLOOKUP(C38,$B$2:$H$18,3)</f>
        <v>35000</v>
      </c>
    </row>
    <row r="39" spans="3:10">
      <c r="C39" s="7" t="s">
        <v>112</v>
      </c>
      <c r="D39" s="5">
        <f t="shared" ref="D39:D48" si="2">VLOOKUP(C39,$B$2:$H$18,3)</f>
        <v>40000</v>
      </c>
    </row>
    <row r="40" spans="3:10">
      <c r="C40" s="7" t="s">
        <v>113</v>
      </c>
      <c r="D40" s="5">
        <f t="shared" si="2"/>
        <v>25500</v>
      </c>
    </row>
    <row r="41" spans="3:10">
      <c r="C41" s="7" t="s">
        <v>114</v>
      </c>
      <c r="D41" s="5">
        <f t="shared" si="2"/>
        <v>29000</v>
      </c>
    </row>
    <row r="42" spans="3:10">
      <c r="C42" s="7" t="s">
        <v>115</v>
      </c>
      <c r="D42" s="5">
        <f t="shared" si="2"/>
        <v>40000</v>
      </c>
    </row>
    <row r="43" spans="3:10">
      <c r="C43" s="7" t="s">
        <v>116</v>
      </c>
      <c r="D43" s="5">
        <f t="shared" si="2"/>
        <v>26500</v>
      </c>
    </row>
    <row r="44" spans="3:10">
      <c r="C44" s="7" t="s">
        <v>117</v>
      </c>
      <c r="D44" s="5">
        <f t="shared" si="2"/>
        <v>29500</v>
      </c>
    </row>
    <row r="45" spans="3:10">
      <c r="C45" s="7" t="s">
        <v>106</v>
      </c>
      <c r="D45" s="5">
        <f t="shared" si="2"/>
        <v>35000</v>
      </c>
    </row>
    <row r="46" spans="3:10">
      <c r="C46" s="7" t="s">
        <v>107</v>
      </c>
      <c r="D46" s="5">
        <f t="shared" si="2"/>
        <v>40000</v>
      </c>
    </row>
    <row r="47" spans="3:10">
      <c r="C47" s="7" t="s">
        <v>108</v>
      </c>
      <c r="D47" s="5">
        <f t="shared" si="2"/>
        <v>40000</v>
      </c>
    </row>
    <row r="48" spans="3:10">
      <c r="C48" s="7" t="s">
        <v>109</v>
      </c>
      <c r="D48" s="5">
        <f t="shared" si="2"/>
        <v>26500</v>
      </c>
    </row>
  </sheetData>
  <dataConsolidate/>
  <hyperlinks>
    <hyperlink ref="F2" r:id="rId1" display="mailto:rahul.k@office.com"/>
    <hyperlink ref="F3" r:id="rId2" display="mailto:ankita.s@office.com"/>
    <hyperlink ref="F4" r:id="rId3" display="mailto:mohit.v@office.com"/>
    <hyperlink ref="F5" r:id="rId4" display="mailto:priya.s@office.com"/>
    <hyperlink ref="F6" r:id="rId5" display="mailto:sandeep.y@office.com"/>
    <hyperlink ref="F7" r:id="rId6" display="mailto:riya.m@office.com"/>
    <hyperlink ref="F8" r:id="rId7" display="mailto:amit.t@office.com"/>
    <hyperlink ref="F9" r:id="rId8" display="mailto:neha.k@office.com"/>
    <hyperlink ref="F10" r:id="rId9" display="mailto:arjun.r@office.com"/>
    <hyperlink ref="F11" r:id="rId10" display="mailto:divya.c@office.com"/>
    <hyperlink ref="F12" r:id="rId11" display="mailto:karan.p@office.com"/>
    <hyperlink ref="F13" r:id="rId12" display="mailto:sneha.j@office.com"/>
    <hyperlink ref="F14" r:id="rId13" display="mailto:rohit.m@office.com"/>
    <hyperlink ref="F18" r:id="rId14" display="mailto:varun.s@office.com"/>
    <hyperlink ref="F17" r:id="rId15" display="mailto:pooja.s@office.com"/>
    <hyperlink ref="F16" r:id="rId16" display="mailto:harshit.g@office.com"/>
    <hyperlink ref="F15" r:id="rId17" display="mailto:megha.j@offic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E29"/>
  <sheetViews>
    <sheetView topLeftCell="A4" workbookViewId="0">
      <selection activeCell="H18" sqref="H18"/>
    </sheetView>
  </sheetViews>
  <sheetFormatPr defaultRowHeight="13.8"/>
  <cols>
    <col min="4" max="4" width="17.296875" bestFit="1" customWidth="1"/>
    <col min="5" max="5" width="10.69921875" customWidth="1"/>
  </cols>
  <sheetData>
    <row r="3" spans="4:5">
      <c r="D3" s="8" t="s">
        <v>122</v>
      </c>
      <c r="E3" s="8" t="s">
        <v>2</v>
      </c>
    </row>
    <row r="4" spans="4:5">
      <c r="D4" s="7" t="s">
        <v>40</v>
      </c>
      <c r="E4" s="5">
        <f t="shared" ref="E4:E15" si="0">VLOOKUP(D4,chetan,4,0)</f>
        <v>29000</v>
      </c>
    </row>
    <row r="5" spans="4:5">
      <c r="D5" s="7" t="s">
        <v>43</v>
      </c>
      <c r="E5" s="5">
        <f t="shared" si="0"/>
        <v>40000</v>
      </c>
    </row>
    <row r="6" spans="4:5">
      <c r="D6" s="7" t="s">
        <v>47</v>
      </c>
      <c r="E6" s="5">
        <f t="shared" si="0"/>
        <v>30500</v>
      </c>
    </row>
    <row r="7" spans="4:5">
      <c r="D7" s="7" t="s">
        <v>50</v>
      </c>
      <c r="E7" s="5">
        <f t="shared" si="0"/>
        <v>29500</v>
      </c>
    </row>
    <row r="8" spans="4:5">
      <c r="D8" s="7" t="s">
        <v>53</v>
      </c>
      <c r="E8" s="5">
        <f t="shared" si="0"/>
        <v>33000</v>
      </c>
    </row>
    <row r="9" spans="4:5">
      <c r="D9" s="7" t="s">
        <v>55</v>
      </c>
      <c r="E9" s="5">
        <f t="shared" si="0"/>
        <v>42000</v>
      </c>
    </row>
    <row r="10" spans="4:5">
      <c r="D10" s="7" t="s">
        <v>7</v>
      </c>
      <c r="E10" s="5">
        <f t="shared" si="0"/>
        <v>28000</v>
      </c>
    </row>
    <row r="11" spans="4:5">
      <c r="D11" s="7" t="s">
        <v>11</v>
      </c>
      <c r="E11" s="5">
        <f t="shared" si="0"/>
        <v>35000</v>
      </c>
    </row>
    <row r="12" spans="4:5">
      <c r="D12" s="7" t="s">
        <v>15</v>
      </c>
      <c r="E12" s="5">
        <f t="shared" si="0"/>
        <v>26000</v>
      </c>
    </row>
    <row r="13" spans="4:5">
      <c r="D13" s="7" t="s">
        <v>19</v>
      </c>
      <c r="E13" s="5">
        <f t="shared" si="0"/>
        <v>30000</v>
      </c>
    </row>
    <row r="14" spans="4:5">
      <c r="D14" s="7" t="s">
        <v>23</v>
      </c>
      <c r="E14" s="5">
        <f t="shared" si="0"/>
        <v>32000</v>
      </c>
    </row>
    <row r="15" spans="4:5">
      <c r="D15" s="7" t="s">
        <v>27</v>
      </c>
      <c r="E15" s="5">
        <f t="shared" si="0"/>
        <v>27000</v>
      </c>
    </row>
    <row r="18" spans="4:5">
      <c r="D18" s="8" t="s">
        <v>123</v>
      </c>
      <c r="E18" s="8" t="s">
        <v>2</v>
      </c>
    </row>
    <row r="19" spans="4:5">
      <c r="D19" s="7" t="s">
        <v>111</v>
      </c>
      <c r="E19" s="5">
        <f t="shared" ref="E19:E29" si="1">VLOOKUP(D19,trialnerror,3,0)</f>
        <v>31000</v>
      </c>
    </row>
    <row r="20" spans="4:5">
      <c r="D20" s="7" t="s">
        <v>112</v>
      </c>
      <c r="E20" s="5">
        <f t="shared" si="1"/>
        <v>36000</v>
      </c>
    </row>
    <row r="21" spans="4:5">
      <c r="D21" s="7" t="s">
        <v>113</v>
      </c>
      <c r="E21" s="5">
        <f t="shared" si="1"/>
        <v>25500</v>
      </c>
    </row>
    <row r="22" spans="4:5">
      <c r="D22" s="7" t="s">
        <v>114</v>
      </c>
      <c r="E22" s="5">
        <f t="shared" si="1"/>
        <v>29000</v>
      </c>
    </row>
    <row r="23" spans="4:5">
      <c r="D23" s="7" t="s">
        <v>115</v>
      </c>
      <c r="E23" s="5">
        <f t="shared" si="1"/>
        <v>40000</v>
      </c>
    </row>
    <row r="24" spans="4:5">
      <c r="D24" s="7" t="s">
        <v>116</v>
      </c>
      <c r="E24" s="5">
        <f t="shared" si="1"/>
        <v>30500</v>
      </c>
    </row>
    <row r="25" spans="4:5">
      <c r="D25" s="7" t="s">
        <v>117</v>
      </c>
      <c r="E25" s="5">
        <f t="shared" si="1"/>
        <v>29500</v>
      </c>
    </row>
    <row r="26" spans="4:5">
      <c r="D26" s="7" t="s">
        <v>106</v>
      </c>
      <c r="E26" s="5">
        <f t="shared" si="1"/>
        <v>35000</v>
      </c>
    </row>
    <row r="27" spans="4:5">
      <c r="D27" s="7" t="s">
        <v>107</v>
      </c>
      <c r="E27" s="5">
        <f t="shared" si="1"/>
        <v>26000</v>
      </c>
    </row>
    <row r="28" spans="4:5">
      <c r="D28" s="7" t="s">
        <v>108</v>
      </c>
      <c r="E28" s="5">
        <f t="shared" si="1"/>
        <v>30000</v>
      </c>
    </row>
    <row r="29" spans="4:5">
      <c r="D29" s="7" t="s">
        <v>109</v>
      </c>
      <c r="E29" s="5">
        <f t="shared" si="1"/>
        <v>32000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zoomScale="145" zoomScaleNormal="145" workbookViewId="0">
      <selection activeCell="F3" sqref="F3"/>
    </sheetView>
  </sheetViews>
  <sheetFormatPr defaultRowHeight="13.8"/>
  <cols>
    <col min="1" max="1" width="14.796875" bestFit="1" customWidth="1"/>
    <col min="2" max="2" width="8" customWidth="1"/>
    <col min="4" max="4" width="10.3984375" customWidth="1"/>
    <col min="5" max="5" width="13.296875" bestFit="1" customWidth="1"/>
  </cols>
  <sheetData>
    <row r="1" spans="1:6">
      <c r="A1" s="9" t="s">
        <v>0</v>
      </c>
      <c r="B1" s="9" t="s">
        <v>2</v>
      </c>
      <c r="E1" s="9" t="s">
        <v>0</v>
      </c>
      <c r="F1" s="9" t="s">
        <v>2</v>
      </c>
    </row>
    <row r="2" spans="1:6">
      <c r="A2" s="7" t="s">
        <v>7</v>
      </c>
      <c r="B2" s="7">
        <v>28000</v>
      </c>
      <c r="E2" s="7" t="s">
        <v>37</v>
      </c>
      <c r="F2" s="7">
        <v>25500</v>
      </c>
    </row>
    <row r="3" spans="1:6">
      <c r="A3" s="7" t="s">
        <v>11</v>
      </c>
      <c r="B3" s="7">
        <v>35000</v>
      </c>
      <c r="E3" s="7" t="s">
        <v>40</v>
      </c>
      <c r="F3" s="7">
        <v>29000</v>
      </c>
    </row>
    <row r="4" spans="1:6">
      <c r="A4" s="7" t="s">
        <v>15</v>
      </c>
      <c r="B4" s="7">
        <v>26000</v>
      </c>
      <c r="E4" s="7" t="s">
        <v>43</v>
      </c>
      <c r="F4" s="7">
        <v>40000</v>
      </c>
    </row>
    <row r="5" spans="1:6">
      <c r="A5" s="7" t="s">
        <v>19</v>
      </c>
      <c r="B5" s="7">
        <v>30000</v>
      </c>
      <c r="E5" s="7" t="s">
        <v>47</v>
      </c>
      <c r="F5" s="7">
        <v>30500</v>
      </c>
    </row>
    <row r="6" spans="1:6">
      <c r="A6" s="7" t="s">
        <v>23</v>
      </c>
      <c r="B6" s="7">
        <v>32000</v>
      </c>
      <c r="E6" s="7" t="s">
        <v>50</v>
      </c>
      <c r="F6" s="7">
        <v>29500</v>
      </c>
    </row>
    <row r="7" spans="1:6">
      <c r="A7" s="7" t="s">
        <v>27</v>
      </c>
      <c r="B7" s="7">
        <v>27000</v>
      </c>
      <c r="E7" s="7" t="s">
        <v>53</v>
      </c>
      <c r="F7" s="7">
        <v>33000</v>
      </c>
    </row>
    <row r="8" spans="1:6">
      <c r="A8" s="7" t="s">
        <v>30</v>
      </c>
      <c r="B8" s="7">
        <v>31000</v>
      </c>
      <c r="E8" s="7" t="s">
        <v>55</v>
      </c>
      <c r="F8" s="7">
        <v>42000</v>
      </c>
    </row>
    <row r="9" spans="1:6">
      <c r="A9" s="7" t="s">
        <v>34</v>
      </c>
      <c r="B9" s="7">
        <v>36000</v>
      </c>
      <c r="E9" s="7" t="s">
        <v>57</v>
      </c>
      <c r="F9" s="7">
        <v>26500</v>
      </c>
    </row>
    <row r="10" spans="1:6">
      <c r="E10" s="7" t="s">
        <v>59</v>
      </c>
      <c r="F10" s="7">
        <v>27500</v>
      </c>
    </row>
    <row r="14" spans="1:6">
      <c r="C14" s="9" t="s">
        <v>0</v>
      </c>
      <c r="D14" s="9"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opLeftCell="A7" workbookViewId="0">
      <selection activeCell="G22" sqref="G22"/>
    </sheetView>
  </sheetViews>
  <sheetFormatPr defaultRowHeight="13.8"/>
  <cols>
    <col min="1" max="1" width="14.796875" bestFit="1" customWidth="1"/>
    <col min="2" max="2" width="12.296875" customWidth="1"/>
    <col min="3" max="3" width="17.796875" bestFit="1" customWidth="1"/>
    <col min="4" max="4" width="8" customWidth="1"/>
    <col min="5" max="5" width="9.19921875" customWidth="1"/>
    <col min="6" max="6" width="20" bestFit="1" customWidth="1"/>
    <col min="7" max="8" width="12.296875" customWidth="1"/>
  </cols>
  <sheetData>
    <row r="1" spans="1:8">
      <c r="A1" s="4" t="s">
        <v>0</v>
      </c>
      <c r="B1" s="4" t="s">
        <v>104</v>
      </c>
      <c r="C1" s="4" t="s">
        <v>1</v>
      </c>
      <c r="D1" s="4" t="s">
        <v>2</v>
      </c>
      <c r="E1" s="4" t="s">
        <v>3</v>
      </c>
      <c r="F1" s="4" t="s">
        <v>4</v>
      </c>
      <c r="G1" s="4" t="s">
        <v>5</v>
      </c>
      <c r="H1" s="4" t="s">
        <v>6</v>
      </c>
    </row>
    <row r="2" spans="1:8">
      <c r="A2" s="1" t="s">
        <v>7</v>
      </c>
      <c r="B2" s="1" t="s">
        <v>105</v>
      </c>
      <c r="C2" s="1" t="s">
        <v>8</v>
      </c>
      <c r="D2" s="1">
        <v>28000</v>
      </c>
      <c r="E2" s="1">
        <v>3000</v>
      </c>
      <c r="F2" s="2" t="s">
        <v>9</v>
      </c>
      <c r="G2" s="3">
        <v>44239</v>
      </c>
      <c r="H2" s="1" t="s">
        <v>10</v>
      </c>
    </row>
    <row r="3" spans="1:8">
      <c r="A3" s="1" t="s">
        <v>11</v>
      </c>
      <c r="B3" s="1" t="s">
        <v>106</v>
      </c>
      <c r="C3" s="1" t="s">
        <v>12</v>
      </c>
      <c r="D3" s="1">
        <v>35000</v>
      </c>
      <c r="E3" s="1">
        <v>5000</v>
      </c>
      <c r="F3" s="2" t="s">
        <v>13</v>
      </c>
      <c r="G3" s="3">
        <v>44016</v>
      </c>
      <c r="H3" s="1" t="s">
        <v>14</v>
      </c>
    </row>
    <row r="4" spans="1:8">
      <c r="A4" s="1" t="s">
        <v>15</v>
      </c>
      <c r="B4" s="1" t="s">
        <v>107</v>
      </c>
      <c r="C4" s="1" t="s">
        <v>16</v>
      </c>
      <c r="D4" s="1">
        <v>26000</v>
      </c>
      <c r="E4" s="1">
        <v>2000</v>
      </c>
      <c r="F4" s="2" t="s">
        <v>17</v>
      </c>
      <c r="G4" s="3">
        <v>44884</v>
      </c>
      <c r="H4" s="1" t="s">
        <v>18</v>
      </c>
    </row>
    <row r="5" spans="1:8">
      <c r="A5" s="1" t="s">
        <v>19</v>
      </c>
      <c r="B5" s="1" t="s">
        <v>108</v>
      </c>
      <c r="C5" s="1" t="s">
        <v>20</v>
      </c>
      <c r="D5" s="1">
        <v>30000</v>
      </c>
      <c r="E5" s="1">
        <v>4000</v>
      </c>
      <c r="F5" s="2" t="s">
        <v>21</v>
      </c>
      <c r="G5" s="3">
        <v>44322</v>
      </c>
      <c r="H5" s="1" t="s">
        <v>22</v>
      </c>
    </row>
    <row r="6" spans="1:8">
      <c r="A6" s="1" t="s">
        <v>23</v>
      </c>
      <c r="B6" s="1" t="s">
        <v>109</v>
      </c>
      <c r="C6" s="1" t="s">
        <v>24</v>
      </c>
      <c r="D6" s="1">
        <v>32000</v>
      </c>
      <c r="E6" s="1">
        <v>3500</v>
      </c>
      <c r="F6" s="2" t="s">
        <v>25</v>
      </c>
      <c r="G6" s="3">
        <v>44927</v>
      </c>
      <c r="H6" s="1" t="s">
        <v>26</v>
      </c>
    </row>
    <row r="7" spans="1:8">
      <c r="A7" s="1" t="s">
        <v>27</v>
      </c>
      <c r="B7" s="1" t="s">
        <v>110</v>
      </c>
      <c r="C7" s="1" t="s">
        <v>8</v>
      </c>
      <c r="D7" s="1">
        <v>27000</v>
      </c>
      <c r="E7" s="1">
        <v>2500</v>
      </c>
      <c r="F7" s="2" t="s">
        <v>28</v>
      </c>
      <c r="G7" s="3">
        <v>44066</v>
      </c>
      <c r="H7" s="1" t="s">
        <v>29</v>
      </c>
    </row>
    <row r="8" spans="1:8">
      <c r="A8" s="1" t="s">
        <v>30</v>
      </c>
      <c r="B8" s="1" t="s">
        <v>111</v>
      </c>
      <c r="C8" s="1" t="s">
        <v>31</v>
      </c>
      <c r="D8" s="1">
        <v>31000</v>
      </c>
      <c r="E8" s="1">
        <v>3000</v>
      </c>
      <c r="F8" s="2" t="s">
        <v>32</v>
      </c>
      <c r="G8" s="3">
        <v>44834</v>
      </c>
      <c r="H8" s="1" t="s">
        <v>33</v>
      </c>
    </row>
    <row r="9" spans="1:8">
      <c r="A9" s="1" t="s">
        <v>34</v>
      </c>
      <c r="B9" s="1" t="s">
        <v>112</v>
      </c>
      <c r="C9" s="1" t="s">
        <v>12</v>
      </c>
      <c r="D9" s="1">
        <v>36000</v>
      </c>
      <c r="E9" s="1">
        <v>6000</v>
      </c>
      <c r="F9" s="2" t="s">
        <v>35</v>
      </c>
      <c r="G9" s="3">
        <v>44541</v>
      </c>
      <c r="H9" s="1" t="s">
        <v>36</v>
      </c>
    </row>
    <row r="10" spans="1:8">
      <c r="A10" s="1" t="s">
        <v>37</v>
      </c>
      <c r="B10" s="1" t="s">
        <v>113</v>
      </c>
      <c r="C10" s="1" t="s">
        <v>16</v>
      </c>
      <c r="D10" s="1">
        <v>25500</v>
      </c>
      <c r="E10" s="1">
        <v>1800</v>
      </c>
      <c r="F10" s="2" t="s">
        <v>38</v>
      </c>
      <c r="G10" s="3">
        <v>45003</v>
      </c>
      <c r="H10" s="1" t="s">
        <v>39</v>
      </c>
    </row>
    <row r="11" spans="1:8">
      <c r="A11" s="1" t="s">
        <v>40</v>
      </c>
      <c r="B11" s="1" t="s">
        <v>114</v>
      </c>
      <c r="C11" s="1" t="s">
        <v>8</v>
      </c>
      <c r="D11" s="1">
        <v>29000</v>
      </c>
      <c r="E11" s="1">
        <v>2500</v>
      </c>
      <c r="F11" s="2" t="s">
        <v>41</v>
      </c>
      <c r="G11" s="3">
        <v>44203</v>
      </c>
      <c r="H11" s="1" t="s">
        <v>42</v>
      </c>
    </row>
    <row r="12" spans="1:8">
      <c r="A12" s="1" t="s">
        <v>43</v>
      </c>
      <c r="B12" s="1" t="s">
        <v>115</v>
      </c>
      <c r="C12" s="1" t="s">
        <v>44</v>
      </c>
      <c r="D12" s="1">
        <v>40000</v>
      </c>
      <c r="E12" s="1">
        <v>7000</v>
      </c>
      <c r="F12" s="2" t="s">
        <v>45</v>
      </c>
      <c r="G12" s="3">
        <v>44665</v>
      </c>
      <c r="H12" s="1" t="s">
        <v>46</v>
      </c>
    </row>
    <row r="13" spans="1:8">
      <c r="A13" s="1" t="s">
        <v>47</v>
      </c>
      <c r="B13" s="1" t="s">
        <v>116</v>
      </c>
      <c r="C13" s="1" t="s">
        <v>31</v>
      </c>
      <c r="D13" s="1">
        <v>30500</v>
      </c>
      <c r="E13" s="1">
        <v>3200</v>
      </c>
      <c r="F13" s="2" t="s">
        <v>48</v>
      </c>
      <c r="G13" s="3">
        <v>44083</v>
      </c>
      <c r="H13" s="1" t="s">
        <v>49</v>
      </c>
    </row>
    <row r="14" spans="1:8">
      <c r="A14" s="1" t="s">
        <v>50</v>
      </c>
      <c r="B14" s="1" t="s">
        <v>117</v>
      </c>
      <c r="C14" s="1" t="s">
        <v>20</v>
      </c>
      <c r="D14" s="1">
        <v>29500</v>
      </c>
      <c r="E14" s="1">
        <v>2800</v>
      </c>
      <c r="F14" s="2" t="s">
        <v>51</v>
      </c>
      <c r="G14" s="3">
        <v>44982</v>
      </c>
      <c r="H14" s="1" t="s">
        <v>52</v>
      </c>
    </row>
    <row r="15" spans="1:8">
      <c r="A15" s="1" t="s">
        <v>53</v>
      </c>
      <c r="B15" s="1" t="s">
        <v>118</v>
      </c>
      <c r="C15" s="1" t="s">
        <v>24</v>
      </c>
      <c r="D15" s="1">
        <v>33000</v>
      </c>
      <c r="E15" s="1">
        <v>4000</v>
      </c>
      <c r="F15" s="2" t="s">
        <v>54</v>
      </c>
      <c r="G15" s="3">
        <v>44491</v>
      </c>
      <c r="H15" s="1" t="s">
        <v>18</v>
      </c>
    </row>
    <row r="16" spans="1:8">
      <c r="A16" s="1" t="s">
        <v>55</v>
      </c>
      <c r="B16" s="1" t="s">
        <v>119</v>
      </c>
      <c r="C16" s="1" t="s">
        <v>44</v>
      </c>
      <c r="D16" s="1">
        <v>42000</v>
      </c>
      <c r="E16" s="1">
        <v>7500</v>
      </c>
      <c r="F16" s="2" t="s">
        <v>56</v>
      </c>
      <c r="G16" s="3">
        <v>43985</v>
      </c>
      <c r="H16" s="1" t="s">
        <v>10</v>
      </c>
    </row>
    <row r="17" spans="1:8">
      <c r="A17" s="1" t="s">
        <v>57</v>
      </c>
      <c r="B17" s="1" t="s">
        <v>120</v>
      </c>
      <c r="C17" s="1" t="s">
        <v>16</v>
      </c>
      <c r="D17" s="1">
        <v>26500</v>
      </c>
      <c r="E17" s="1">
        <v>2100</v>
      </c>
      <c r="F17" s="2" t="s">
        <v>58</v>
      </c>
      <c r="G17" s="3">
        <v>44590</v>
      </c>
      <c r="H17" s="1" t="s">
        <v>14</v>
      </c>
    </row>
    <row r="18" spans="1:8">
      <c r="A18" s="1" t="s">
        <v>59</v>
      </c>
      <c r="B18" s="1" t="s">
        <v>121</v>
      </c>
      <c r="C18" s="1" t="s">
        <v>8</v>
      </c>
      <c r="D18" s="1">
        <v>27500</v>
      </c>
      <c r="E18" s="1">
        <v>2200</v>
      </c>
      <c r="F18" s="2" t="s">
        <v>60</v>
      </c>
      <c r="G18" s="3">
        <v>45143</v>
      </c>
      <c r="H18" s="1" t="s">
        <v>10</v>
      </c>
    </row>
    <row r="22" spans="1:8">
      <c r="C22" s="8" t="s">
        <v>122</v>
      </c>
      <c r="D22" s="8" t="s">
        <v>2</v>
      </c>
    </row>
    <row r="23" spans="1:8">
      <c r="C23" s="7" t="s">
        <v>40</v>
      </c>
      <c r="D23" s="5">
        <f>_xll.XLOOKUP(C23,$A$2:$A$18,$D$2:$D$18)</f>
        <v>29000</v>
      </c>
    </row>
    <row r="24" spans="1:8">
      <c r="C24" s="7" t="s">
        <v>43</v>
      </c>
      <c r="D24" s="5">
        <f>_xll.XLOOKUP(C24,$A$2:$A$18,$D$2:$D$18)</f>
        <v>40000</v>
      </c>
    </row>
    <row r="25" spans="1:8">
      <c r="C25" s="7" t="s">
        <v>47</v>
      </c>
      <c r="D25" s="5">
        <f>_xll.XLOOKUP(C25,$A$2:$A$18,$D$2:$D$18)</f>
        <v>30500</v>
      </c>
    </row>
    <row r="26" spans="1:8">
      <c r="C26" s="7" t="s">
        <v>50</v>
      </c>
      <c r="D26" s="5">
        <f>_xll.XLOOKUP(C26,$A$2:$A$18,$D$2:$D$18)</f>
        <v>29500</v>
      </c>
    </row>
    <row r="27" spans="1:8">
      <c r="C27" s="7" t="s">
        <v>53</v>
      </c>
      <c r="D27" s="5">
        <f>_xll.XLOOKUP(C27,$A$2:$A$18,$D$2:$D$18)</f>
        <v>33000</v>
      </c>
    </row>
    <row r="28" spans="1:8">
      <c r="C28" s="7" t="s">
        <v>55</v>
      </c>
      <c r="D28" s="5">
        <f>_xll.XLOOKUP(C28,$A$2:$A$18,$D$2:$D$18)</f>
        <v>42000</v>
      </c>
    </row>
    <row r="29" spans="1:8">
      <c r="C29" s="7" t="s">
        <v>7</v>
      </c>
      <c r="D29" s="5">
        <f>_xll.XLOOKUP(C29,$A$2:$A$18,$D$2:$D$18)</f>
        <v>28000</v>
      </c>
    </row>
    <row r="30" spans="1:8">
      <c r="C30" s="7" t="s">
        <v>11</v>
      </c>
      <c r="D30" s="5">
        <f>_xll.XLOOKUP(C30,$A$2:$A$18,$D$2:$D$18)</f>
        <v>35000</v>
      </c>
    </row>
    <row r="31" spans="1:8">
      <c r="C31" s="7" t="s">
        <v>15</v>
      </c>
      <c r="D31" s="5">
        <f>_xll.XLOOKUP(C31,$A$2:$A$18,$D$2:$D$18)</f>
        <v>26000</v>
      </c>
    </row>
    <row r="32" spans="1:8">
      <c r="C32" s="7" t="s">
        <v>19</v>
      </c>
      <c r="D32" s="5">
        <f>_xll.XLOOKUP(C32,$A$2:$A$18,$D$2:$D$18)</f>
        <v>30000</v>
      </c>
    </row>
    <row r="33" spans="3:4">
      <c r="C33" s="7" t="s">
        <v>23</v>
      </c>
      <c r="D33" s="5">
        <f>_xll.XLOOKUP(C33,$A$2:$A$18,$D$2:$D$18)</f>
        <v>32000</v>
      </c>
    </row>
    <row r="34" spans="3:4">
      <c r="C34" s="7" t="s">
        <v>27</v>
      </c>
      <c r="D34" s="5">
        <f>_xll.XLOOKUP(C34,$A$2:$A$18,$D$2:$D$18)</f>
        <v>27000</v>
      </c>
    </row>
    <row r="37" spans="3:4">
      <c r="C37" s="8" t="s">
        <v>123</v>
      </c>
      <c r="D37" s="8" t="s">
        <v>2</v>
      </c>
    </row>
    <row r="38" spans="3:4">
      <c r="C38" s="7" t="s">
        <v>111</v>
      </c>
      <c r="D38" s="5"/>
    </row>
    <row r="39" spans="3:4">
      <c r="C39" s="7" t="s">
        <v>112</v>
      </c>
      <c r="D39" s="5"/>
    </row>
    <row r="40" spans="3:4">
      <c r="C40" s="7" t="s">
        <v>113</v>
      </c>
      <c r="D40" s="5"/>
    </row>
    <row r="41" spans="3:4">
      <c r="C41" s="7" t="s">
        <v>114</v>
      </c>
      <c r="D41" s="5"/>
    </row>
    <row r="42" spans="3:4">
      <c r="C42" s="7" t="s">
        <v>115</v>
      </c>
      <c r="D42" s="5"/>
    </row>
    <row r="43" spans="3:4">
      <c r="C43" s="7" t="s">
        <v>116</v>
      </c>
      <c r="D43" s="5"/>
    </row>
    <row r="44" spans="3:4">
      <c r="C44" s="7" t="s">
        <v>117</v>
      </c>
      <c r="D44" s="5"/>
    </row>
    <row r="45" spans="3:4">
      <c r="C45" s="7" t="s">
        <v>106</v>
      </c>
      <c r="D45" s="5"/>
    </row>
    <row r="46" spans="3:4">
      <c r="C46" s="7" t="s">
        <v>107</v>
      </c>
      <c r="D46" s="5"/>
    </row>
    <row r="47" spans="3:4">
      <c r="C47" s="7" t="s">
        <v>108</v>
      </c>
      <c r="D47" s="5"/>
    </row>
    <row r="48" spans="3:4">
      <c r="C48" s="7" t="s">
        <v>109</v>
      </c>
      <c r="D48" s="5"/>
    </row>
  </sheetData>
  <hyperlinks>
    <hyperlink ref="F2" r:id="rId1" display="mailto:rahul.k@office.com"/>
    <hyperlink ref="F3" r:id="rId2" display="mailto:ankita.s@office.com"/>
    <hyperlink ref="F4" r:id="rId3" display="mailto:mohit.v@office.com"/>
    <hyperlink ref="F5" r:id="rId4" display="mailto:priya.s@office.com"/>
    <hyperlink ref="F6" r:id="rId5" display="mailto:sandeep.y@office.com"/>
    <hyperlink ref="F7" r:id="rId6" display="mailto:riya.m@office.com"/>
    <hyperlink ref="F8" r:id="rId7" display="mailto:amit.t@office.com"/>
    <hyperlink ref="F9" r:id="rId8" display="mailto:neha.k@office.com"/>
    <hyperlink ref="F10" r:id="rId9" display="mailto:arjun.r@office.com"/>
    <hyperlink ref="F11" r:id="rId10" display="mailto:divya.c@office.com"/>
    <hyperlink ref="F12" r:id="rId11" display="mailto:karan.p@office.com"/>
    <hyperlink ref="F13" r:id="rId12" display="mailto:sneha.j@office.com"/>
    <hyperlink ref="F14" r:id="rId13" display="mailto:rohit.m@office.com"/>
    <hyperlink ref="F18" r:id="rId14" display="mailto:varun.s@office.com"/>
    <hyperlink ref="F17" r:id="rId15" display="mailto:pooja.s@office.com"/>
    <hyperlink ref="F16" r:id="rId16" display="mailto:harshit.g@office.com"/>
    <hyperlink ref="F15" r:id="rId17" display="mailto:megha.j@office.com"/>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opLeftCell="A25" zoomScale="160" zoomScaleNormal="160" workbookViewId="0">
      <selection sqref="A1:G31"/>
    </sheetView>
  </sheetViews>
  <sheetFormatPr defaultRowHeight="13.8"/>
  <cols>
    <col min="1" max="1" width="14.296875" bestFit="1" customWidth="1"/>
    <col min="2" max="2" width="11" bestFit="1" customWidth="1"/>
    <col min="3" max="3" width="6.19921875" bestFit="1" customWidth="1"/>
    <col min="4" max="4" width="6" bestFit="1" customWidth="1"/>
    <col min="5" max="5" width="20" bestFit="1" customWidth="1"/>
    <col min="6" max="6" width="10.8984375" bestFit="1" customWidth="1"/>
    <col min="7" max="7" width="10.69921875" bestFit="1" customWidth="1"/>
  </cols>
  <sheetData>
    <row r="1" spans="1:7">
      <c r="A1" s="4" t="s">
        <v>0</v>
      </c>
      <c r="B1" s="4" t="s">
        <v>1</v>
      </c>
      <c r="C1" s="4" t="s">
        <v>2</v>
      </c>
      <c r="D1" s="4" t="s">
        <v>3</v>
      </c>
      <c r="E1" s="4" t="s">
        <v>4</v>
      </c>
      <c r="F1" s="4" t="s">
        <v>5</v>
      </c>
      <c r="G1" s="4" t="s">
        <v>6</v>
      </c>
    </row>
    <row r="2" spans="1:7">
      <c r="A2" s="1" t="s">
        <v>7</v>
      </c>
      <c r="B2" s="1" t="s">
        <v>8</v>
      </c>
      <c r="C2" s="1">
        <v>28000</v>
      </c>
      <c r="D2" s="1">
        <v>3000</v>
      </c>
      <c r="E2" s="2" t="s">
        <v>9</v>
      </c>
      <c r="F2" s="3">
        <v>44239</v>
      </c>
      <c r="G2" s="1" t="s">
        <v>10</v>
      </c>
    </row>
    <row r="3" spans="1:7">
      <c r="A3" s="1" t="s">
        <v>11</v>
      </c>
      <c r="B3" s="1" t="s">
        <v>12</v>
      </c>
      <c r="C3" s="1">
        <v>35000</v>
      </c>
      <c r="D3" s="1">
        <v>5000</v>
      </c>
      <c r="E3" s="2" t="s">
        <v>13</v>
      </c>
      <c r="F3" s="3">
        <v>44016</v>
      </c>
      <c r="G3" s="1" t="s">
        <v>14</v>
      </c>
    </row>
    <row r="4" spans="1:7">
      <c r="A4" s="1" t="s">
        <v>15</v>
      </c>
      <c r="B4" s="1" t="s">
        <v>16</v>
      </c>
      <c r="C4" s="1">
        <v>26000</v>
      </c>
      <c r="D4" s="1">
        <v>2000</v>
      </c>
      <c r="E4" s="2" t="s">
        <v>17</v>
      </c>
      <c r="F4" s="3">
        <v>44884</v>
      </c>
      <c r="G4" s="1" t="s">
        <v>18</v>
      </c>
    </row>
    <row r="5" spans="1:7">
      <c r="A5" s="1" t="s">
        <v>19</v>
      </c>
      <c r="B5" s="1" t="s">
        <v>20</v>
      </c>
      <c r="C5" s="1">
        <v>30000</v>
      </c>
      <c r="D5" s="1">
        <v>4000</v>
      </c>
      <c r="E5" s="2" t="s">
        <v>21</v>
      </c>
      <c r="F5" s="3">
        <v>44322</v>
      </c>
      <c r="G5" s="1" t="s">
        <v>22</v>
      </c>
    </row>
    <row r="6" spans="1:7">
      <c r="A6" s="1" t="s">
        <v>23</v>
      </c>
      <c r="B6" s="1" t="s">
        <v>24</v>
      </c>
      <c r="C6" s="1">
        <v>32000</v>
      </c>
      <c r="D6" s="1">
        <v>3500</v>
      </c>
      <c r="E6" s="2" t="s">
        <v>25</v>
      </c>
      <c r="F6" s="3">
        <v>44927</v>
      </c>
      <c r="G6" s="1" t="s">
        <v>26</v>
      </c>
    </row>
    <row r="7" spans="1:7">
      <c r="A7" s="1" t="s">
        <v>27</v>
      </c>
      <c r="B7" s="1" t="s">
        <v>8</v>
      </c>
      <c r="C7" s="1">
        <v>27000</v>
      </c>
      <c r="D7" s="1">
        <v>2500</v>
      </c>
      <c r="E7" s="2" t="s">
        <v>28</v>
      </c>
      <c r="F7" s="3">
        <v>44066</v>
      </c>
      <c r="G7" s="1" t="s">
        <v>29</v>
      </c>
    </row>
    <row r="8" spans="1:7">
      <c r="A8" s="1" t="s">
        <v>30</v>
      </c>
      <c r="B8" s="1" t="s">
        <v>31</v>
      </c>
      <c r="C8" s="1">
        <v>31000</v>
      </c>
      <c r="D8" s="1">
        <v>3000</v>
      </c>
      <c r="E8" s="2" t="s">
        <v>32</v>
      </c>
      <c r="F8" s="3">
        <v>44834</v>
      </c>
      <c r="G8" s="1" t="s">
        <v>33</v>
      </c>
    </row>
    <row r="9" spans="1:7">
      <c r="A9" s="1" t="s">
        <v>34</v>
      </c>
      <c r="B9" s="1" t="s">
        <v>12</v>
      </c>
      <c r="C9" s="1">
        <v>36000</v>
      </c>
      <c r="D9" s="1">
        <v>6000</v>
      </c>
      <c r="E9" s="2" t="s">
        <v>35</v>
      </c>
      <c r="F9" s="3">
        <v>44541</v>
      </c>
      <c r="G9" s="1" t="s">
        <v>36</v>
      </c>
    </row>
    <row r="10" spans="1:7">
      <c r="A10" s="1" t="s">
        <v>37</v>
      </c>
      <c r="B10" s="1" t="s">
        <v>16</v>
      </c>
      <c r="C10" s="1">
        <v>25500</v>
      </c>
      <c r="D10" s="1">
        <v>1800</v>
      </c>
      <c r="E10" s="2" t="s">
        <v>38</v>
      </c>
      <c r="F10" s="3">
        <v>45003</v>
      </c>
      <c r="G10" s="1" t="s">
        <v>39</v>
      </c>
    </row>
    <row r="11" spans="1:7">
      <c r="A11" s="1" t="s">
        <v>40</v>
      </c>
      <c r="B11" s="1" t="s">
        <v>8</v>
      </c>
      <c r="C11" s="1">
        <v>29000</v>
      </c>
      <c r="D11" s="1">
        <v>2500</v>
      </c>
      <c r="E11" s="2" t="s">
        <v>41</v>
      </c>
      <c r="F11" s="3">
        <v>44203</v>
      </c>
      <c r="G11" s="1" t="s">
        <v>42</v>
      </c>
    </row>
    <row r="12" spans="1:7">
      <c r="A12" s="1" t="s">
        <v>43</v>
      </c>
      <c r="B12" s="1" t="s">
        <v>44</v>
      </c>
      <c r="C12" s="1">
        <v>40000</v>
      </c>
      <c r="D12" s="1">
        <v>7000</v>
      </c>
      <c r="E12" s="2" t="s">
        <v>45</v>
      </c>
      <c r="F12" s="3">
        <v>44665</v>
      </c>
      <c r="G12" s="1" t="s">
        <v>46</v>
      </c>
    </row>
    <row r="13" spans="1:7">
      <c r="A13" s="1" t="s">
        <v>47</v>
      </c>
      <c r="B13" s="1" t="s">
        <v>31</v>
      </c>
      <c r="C13" s="1">
        <v>30500</v>
      </c>
      <c r="D13" s="1">
        <v>3200</v>
      </c>
      <c r="E13" s="2" t="s">
        <v>48</v>
      </c>
      <c r="F13" s="3">
        <v>44083</v>
      </c>
      <c r="G13" s="1" t="s">
        <v>49</v>
      </c>
    </row>
    <row r="14" spans="1:7">
      <c r="A14" s="1" t="s">
        <v>50</v>
      </c>
      <c r="B14" s="1" t="s">
        <v>20</v>
      </c>
      <c r="C14" s="1">
        <v>29500</v>
      </c>
      <c r="D14" s="1">
        <v>2800</v>
      </c>
      <c r="E14" s="2" t="s">
        <v>51</v>
      </c>
      <c r="F14" s="3">
        <v>44982</v>
      </c>
      <c r="G14" s="1" t="s">
        <v>52</v>
      </c>
    </row>
    <row r="15" spans="1:7">
      <c r="A15" s="1" t="s">
        <v>53</v>
      </c>
      <c r="B15" s="1" t="s">
        <v>24</v>
      </c>
      <c r="C15" s="1">
        <v>33000</v>
      </c>
      <c r="D15" s="1">
        <v>4000</v>
      </c>
      <c r="E15" s="2" t="s">
        <v>54</v>
      </c>
      <c r="F15" s="3">
        <v>44491</v>
      </c>
      <c r="G15" s="1" t="s">
        <v>18</v>
      </c>
    </row>
    <row r="16" spans="1:7">
      <c r="A16" s="1" t="s">
        <v>55</v>
      </c>
      <c r="B16" s="1" t="s">
        <v>44</v>
      </c>
      <c r="C16" s="1">
        <v>42000</v>
      </c>
      <c r="D16" s="1">
        <v>7500</v>
      </c>
      <c r="E16" s="2" t="s">
        <v>56</v>
      </c>
      <c r="F16" s="3">
        <v>43985</v>
      </c>
      <c r="G16" s="1" t="s">
        <v>10</v>
      </c>
    </row>
    <row r="17" spans="1:7">
      <c r="A17" s="1" t="s">
        <v>57</v>
      </c>
      <c r="B17" s="1" t="s">
        <v>16</v>
      </c>
      <c r="C17" s="1">
        <v>26500</v>
      </c>
      <c r="D17" s="1">
        <v>2100</v>
      </c>
      <c r="E17" s="2" t="s">
        <v>58</v>
      </c>
      <c r="F17" s="3">
        <v>44590</v>
      </c>
      <c r="G17" s="1" t="s">
        <v>14</v>
      </c>
    </row>
    <row r="18" spans="1:7">
      <c r="A18" s="1" t="s">
        <v>59</v>
      </c>
      <c r="B18" s="1" t="s">
        <v>8</v>
      </c>
      <c r="C18" s="1">
        <v>27500</v>
      </c>
      <c r="D18" s="1">
        <v>2200</v>
      </c>
      <c r="E18" s="2" t="s">
        <v>60</v>
      </c>
      <c r="F18" s="3">
        <v>45143</v>
      </c>
      <c r="G18" s="1" t="s">
        <v>10</v>
      </c>
    </row>
    <row r="19" spans="1:7">
      <c r="A19" s="1" t="s">
        <v>61</v>
      </c>
      <c r="B19" s="1" t="s">
        <v>20</v>
      </c>
      <c r="C19" s="1">
        <v>31000</v>
      </c>
      <c r="D19" s="1">
        <v>3500</v>
      </c>
      <c r="E19" s="2" t="s">
        <v>62</v>
      </c>
      <c r="F19" s="3">
        <v>44512</v>
      </c>
      <c r="G19" s="1" t="s">
        <v>63</v>
      </c>
    </row>
    <row r="20" spans="1:7">
      <c r="A20" s="1" t="s">
        <v>64</v>
      </c>
      <c r="B20" s="1" t="s">
        <v>12</v>
      </c>
      <c r="C20" s="1">
        <v>34500</v>
      </c>
      <c r="D20" s="1">
        <v>4500</v>
      </c>
      <c r="E20" s="2" t="s">
        <v>65</v>
      </c>
      <c r="F20" s="3">
        <v>43900</v>
      </c>
      <c r="G20" s="1" t="s">
        <v>22</v>
      </c>
    </row>
    <row r="21" spans="1:7">
      <c r="A21" s="1" t="s">
        <v>66</v>
      </c>
      <c r="B21" s="1" t="s">
        <v>31</v>
      </c>
      <c r="C21" s="1">
        <v>31500</v>
      </c>
      <c r="D21" s="1">
        <v>2900</v>
      </c>
      <c r="E21" s="2" t="s">
        <v>67</v>
      </c>
      <c r="F21" s="3">
        <v>44897</v>
      </c>
      <c r="G21" s="1" t="s">
        <v>36</v>
      </c>
    </row>
    <row r="22" spans="1:7">
      <c r="A22" s="1" t="s">
        <v>68</v>
      </c>
      <c r="B22" s="1" t="s">
        <v>44</v>
      </c>
      <c r="C22" s="1">
        <v>41000</v>
      </c>
      <c r="D22" s="1">
        <v>7000</v>
      </c>
      <c r="E22" s="2" t="s">
        <v>69</v>
      </c>
      <c r="F22" s="3">
        <v>44405</v>
      </c>
      <c r="G22" s="1" t="s">
        <v>33</v>
      </c>
    </row>
    <row r="23" spans="1:7">
      <c r="A23" s="1" t="s">
        <v>70</v>
      </c>
      <c r="B23" s="1" t="s">
        <v>24</v>
      </c>
      <c r="C23" s="1">
        <v>32500</v>
      </c>
      <c r="D23" s="1">
        <v>3000</v>
      </c>
      <c r="E23" s="2" t="s">
        <v>71</v>
      </c>
      <c r="F23" s="3">
        <v>44083</v>
      </c>
      <c r="G23" s="1" t="s">
        <v>39</v>
      </c>
    </row>
    <row r="24" spans="1:7">
      <c r="A24" s="1" t="s">
        <v>72</v>
      </c>
      <c r="B24" s="1" t="s">
        <v>8</v>
      </c>
      <c r="C24" s="1">
        <v>28500</v>
      </c>
      <c r="D24" s="1">
        <v>2600</v>
      </c>
      <c r="E24" s="2" t="s">
        <v>73</v>
      </c>
      <c r="F24" s="3">
        <v>45032</v>
      </c>
      <c r="G24" s="1" t="s">
        <v>63</v>
      </c>
    </row>
    <row r="25" spans="1:7">
      <c r="A25" s="1" t="s">
        <v>74</v>
      </c>
      <c r="B25" s="1" t="s">
        <v>12</v>
      </c>
      <c r="C25" s="1">
        <v>35500</v>
      </c>
      <c r="D25" s="1">
        <v>4800</v>
      </c>
      <c r="E25" s="2" t="s">
        <v>75</v>
      </c>
      <c r="F25" s="3">
        <v>44228</v>
      </c>
      <c r="G25" s="1" t="s">
        <v>52</v>
      </c>
    </row>
    <row r="26" spans="1:7">
      <c r="A26" s="1" t="s">
        <v>76</v>
      </c>
      <c r="B26" s="1" t="s">
        <v>31</v>
      </c>
      <c r="C26" s="1">
        <v>30000</v>
      </c>
      <c r="D26" s="1">
        <v>2500</v>
      </c>
      <c r="E26" s="2" t="s">
        <v>77</v>
      </c>
      <c r="F26" s="3">
        <v>44878</v>
      </c>
      <c r="G26" s="1" t="s">
        <v>29</v>
      </c>
    </row>
    <row r="27" spans="1:7">
      <c r="A27" s="1" t="s">
        <v>78</v>
      </c>
      <c r="B27" s="1" t="s">
        <v>20</v>
      </c>
      <c r="C27" s="1">
        <v>30500</v>
      </c>
      <c r="D27" s="1">
        <v>3300</v>
      </c>
      <c r="E27" s="2" t="s">
        <v>79</v>
      </c>
      <c r="F27" s="3">
        <v>44192</v>
      </c>
      <c r="G27" s="1" t="s">
        <v>46</v>
      </c>
    </row>
    <row r="28" spans="1:7">
      <c r="A28" s="1" t="s">
        <v>80</v>
      </c>
      <c r="B28" s="1" t="s">
        <v>16</v>
      </c>
      <c r="C28" s="1">
        <v>27000</v>
      </c>
      <c r="D28" s="1">
        <v>2200</v>
      </c>
      <c r="E28" s="2" t="s">
        <v>81</v>
      </c>
      <c r="F28" s="3">
        <v>45054</v>
      </c>
      <c r="G28" s="1" t="s">
        <v>18</v>
      </c>
    </row>
    <row r="29" spans="1:7">
      <c r="A29" s="1" t="s">
        <v>82</v>
      </c>
      <c r="B29" s="1" t="s">
        <v>44</v>
      </c>
      <c r="C29" s="1">
        <v>39500</v>
      </c>
      <c r="D29" s="1">
        <v>6800</v>
      </c>
      <c r="E29" s="2" t="s">
        <v>83</v>
      </c>
      <c r="F29" s="3">
        <v>44398</v>
      </c>
      <c r="G29" s="1" t="s">
        <v>10</v>
      </c>
    </row>
    <row r="30" spans="1:7">
      <c r="A30" s="1" t="s">
        <v>84</v>
      </c>
      <c r="B30" s="1" t="s">
        <v>24</v>
      </c>
      <c r="C30" s="1">
        <v>33500</v>
      </c>
      <c r="D30" s="1">
        <v>4200</v>
      </c>
      <c r="E30" s="2" t="s">
        <v>85</v>
      </c>
      <c r="F30" s="3">
        <v>44565</v>
      </c>
      <c r="G30" s="1" t="s">
        <v>22</v>
      </c>
    </row>
    <row r="31" spans="1:7">
      <c r="A31" s="1" t="s">
        <v>86</v>
      </c>
      <c r="B31" s="1" t="s">
        <v>12</v>
      </c>
      <c r="C31" s="1">
        <v>34000</v>
      </c>
      <c r="D31" s="1">
        <v>4300</v>
      </c>
      <c r="E31" s="2" t="s">
        <v>87</v>
      </c>
      <c r="F31" s="3">
        <v>43908</v>
      </c>
      <c r="G31" s="1" t="s">
        <v>14</v>
      </c>
    </row>
  </sheetData>
  <hyperlinks>
    <hyperlink ref="E2" r:id="rId1" display="mailto:rahul.k@office.com"/>
    <hyperlink ref="E3" r:id="rId2" display="mailto:ankita.s@office.com"/>
    <hyperlink ref="E4" r:id="rId3" display="mailto:mohit.v@office.com"/>
    <hyperlink ref="E5" r:id="rId4" display="mailto:priya.s@office.com"/>
    <hyperlink ref="E6" r:id="rId5" display="mailto:sandeep.y@office.com"/>
    <hyperlink ref="E7" r:id="rId6" display="mailto:riya.m@office.com"/>
    <hyperlink ref="E8" r:id="rId7" display="mailto:amit.t@office.com"/>
    <hyperlink ref="E9" r:id="rId8" display="mailto:neha.k@office.com"/>
    <hyperlink ref="E10" r:id="rId9" display="mailto:arjun.r@office.com"/>
    <hyperlink ref="E11" r:id="rId10" display="mailto:divya.c@office.com"/>
    <hyperlink ref="E12" r:id="rId11" display="mailto:karan.p@office.com"/>
    <hyperlink ref="E13" r:id="rId12" display="mailto:sneha.j@office.com"/>
    <hyperlink ref="E14" r:id="rId13" display="mailto:rohit.m@office.com"/>
    <hyperlink ref="E15" r:id="rId14" display="mailto:megha.j@office.com"/>
    <hyperlink ref="E16" r:id="rId15" display="mailto:harshit.g@office.com"/>
    <hyperlink ref="E17" r:id="rId16" display="mailto:pooja.s@office.com"/>
    <hyperlink ref="E18" r:id="rId17" display="mailto:varun.s@office.com"/>
    <hyperlink ref="E19" r:id="rId18" display="mailto:nikita.r@office.com"/>
    <hyperlink ref="E20" r:id="rId19" display="mailto:shivam.a@office.com"/>
    <hyperlink ref="E21" r:id="rId20" display="mailto:sonia.b@office.com"/>
    <hyperlink ref="E22" r:id="rId21" display="mailto:yash.t@office.com"/>
    <hyperlink ref="E23" r:id="rId22" display="mailto:payal.d@office.com"/>
    <hyperlink ref="E24" r:id="rId23" display="mailto:abhishek.r@office.com"/>
    <hyperlink ref="E25" r:id="rId24" display="mailto:simran.k@office.com"/>
    <hyperlink ref="E26" r:id="rId25" display="mailto:deepak.j@office.com"/>
    <hyperlink ref="E27" r:id="rId26" display="mailto:shreya.s@office.com"/>
    <hyperlink ref="E28" r:id="rId27" display="mailto:manish.k@office.com"/>
    <hyperlink ref="E29" r:id="rId28" display="mailto:aarav.g@office.com"/>
    <hyperlink ref="E30" r:id="rId29" display="mailto:tanya.v@office.com"/>
    <hyperlink ref="E31" r:id="rId30" display="mailto:jay.m@office.com"/>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6"/>
  <sheetViews>
    <sheetView workbookViewId="0">
      <selection activeCell="E9" sqref="E9"/>
    </sheetView>
  </sheetViews>
  <sheetFormatPr defaultRowHeight="13.8"/>
  <sheetData>
    <row r="1" spans="1:31">
      <c r="A1" s="4" t="s">
        <v>0</v>
      </c>
      <c r="B1" s="1" t="s">
        <v>7</v>
      </c>
      <c r="C1" s="1" t="s">
        <v>11</v>
      </c>
      <c r="D1" s="1" t="s">
        <v>15</v>
      </c>
      <c r="E1" s="1" t="s">
        <v>19</v>
      </c>
      <c r="F1" s="1" t="s">
        <v>23</v>
      </c>
      <c r="G1" s="1" t="s">
        <v>27</v>
      </c>
      <c r="H1" s="1" t="s">
        <v>30</v>
      </c>
      <c r="I1" s="1" t="s">
        <v>34</v>
      </c>
      <c r="J1" s="1" t="s">
        <v>37</v>
      </c>
      <c r="K1" s="1" t="s">
        <v>40</v>
      </c>
      <c r="L1" s="1" t="s">
        <v>43</v>
      </c>
      <c r="M1" s="1" t="s">
        <v>47</v>
      </c>
      <c r="N1" s="1" t="s">
        <v>50</v>
      </c>
      <c r="O1" s="1" t="s">
        <v>53</v>
      </c>
      <c r="P1" s="1" t="s">
        <v>55</v>
      </c>
      <c r="Q1" s="1" t="s">
        <v>57</v>
      </c>
      <c r="R1" s="1" t="s">
        <v>59</v>
      </c>
      <c r="S1" s="1" t="s">
        <v>61</v>
      </c>
      <c r="T1" s="1" t="s">
        <v>64</v>
      </c>
      <c r="U1" s="1" t="s">
        <v>66</v>
      </c>
      <c r="V1" s="1" t="s">
        <v>68</v>
      </c>
      <c r="W1" s="1" t="s">
        <v>70</v>
      </c>
      <c r="X1" s="1" t="s">
        <v>72</v>
      </c>
      <c r="Y1" s="1" t="s">
        <v>74</v>
      </c>
      <c r="Z1" s="1" t="s">
        <v>76</v>
      </c>
      <c r="AA1" s="1" t="s">
        <v>78</v>
      </c>
      <c r="AB1" s="1" t="s">
        <v>80</v>
      </c>
      <c r="AC1" s="1" t="s">
        <v>82</v>
      </c>
      <c r="AD1" s="1" t="s">
        <v>84</v>
      </c>
      <c r="AE1" s="1" t="s">
        <v>86</v>
      </c>
    </row>
    <row r="2" spans="1:31">
      <c r="A2" s="4" t="s">
        <v>1</v>
      </c>
      <c r="B2" s="1" t="s">
        <v>8</v>
      </c>
      <c r="C2" s="1" t="s">
        <v>12</v>
      </c>
      <c r="D2" s="1" t="s">
        <v>16</v>
      </c>
      <c r="E2" s="1" t="s">
        <v>20</v>
      </c>
      <c r="F2" s="1" t="s">
        <v>24</v>
      </c>
      <c r="G2" s="1" t="s">
        <v>8</v>
      </c>
      <c r="H2" s="1" t="s">
        <v>31</v>
      </c>
      <c r="I2" s="1" t="s">
        <v>12</v>
      </c>
      <c r="J2" s="1" t="s">
        <v>16</v>
      </c>
      <c r="K2" s="1" t="s">
        <v>8</v>
      </c>
      <c r="L2" s="1" t="s">
        <v>44</v>
      </c>
      <c r="M2" s="1" t="s">
        <v>31</v>
      </c>
      <c r="N2" s="1" t="s">
        <v>20</v>
      </c>
      <c r="O2" s="1" t="s">
        <v>24</v>
      </c>
      <c r="P2" s="1" t="s">
        <v>44</v>
      </c>
      <c r="Q2" s="1" t="s">
        <v>16</v>
      </c>
      <c r="R2" s="1" t="s">
        <v>8</v>
      </c>
      <c r="S2" s="1" t="s">
        <v>20</v>
      </c>
      <c r="T2" s="1" t="s">
        <v>12</v>
      </c>
      <c r="U2" s="1" t="s">
        <v>31</v>
      </c>
      <c r="V2" s="1" t="s">
        <v>44</v>
      </c>
      <c r="W2" s="1" t="s">
        <v>24</v>
      </c>
      <c r="X2" s="1" t="s">
        <v>8</v>
      </c>
      <c r="Y2" s="1" t="s">
        <v>12</v>
      </c>
      <c r="Z2" s="1" t="s">
        <v>31</v>
      </c>
      <c r="AA2" s="1" t="s">
        <v>20</v>
      </c>
      <c r="AB2" s="1" t="s">
        <v>16</v>
      </c>
      <c r="AC2" s="1" t="s">
        <v>44</v>
      </c>
      <c r="AD2" s="1" t="s">
        <v>24</v>
      </c>
      <c r="AE2" s="1" t="s">
        <v>12</v>
      </c>
    </row>
    <row r="3" spans="1:31">
      <c r="A3" s="4" t="s">
        <v>2</v>
      </c>
      <c r="B3" s="1">
        <v>28000</v>
      </c>
      <c r="C3" s="1">
        <v>35000</v>
      </c>
      <c r="D3" s="1">
        <v>26000</v>
      </c>
      <c r="E3" s="1">
        <v>30000</v>
      </c>
      <c r="F3" s="1">
        <v>32000</v>
      </c>
      <c r="G3" s="1">
        <v>27000</v>
      </c>
      <c r="H3" s="1">
        <v>31000</v>
      </c>
      <c r="I3" s="1">
        <v>36000</v>
      </c>
      <c r="J3" s="1">
        <v>25500</v>
      </c>
      <c r="K3" s="1">
        <v>29000</v>
      </c>
      <c r="L3" s="1">
        <v>40000</v>
      </c>
      <c r="M3" s="1">
        <v>30500</v>
      </c>
      <c r="N3" s="1">
        <v>29500</v>
      </c>
      <c r="O3" s="1">
        <v>33000</v>
      </c>
      <c r="P3" s="1">
        <v>42000</v>
      </c>
      <c r="Q3" s="1">
        <v>26500</v>
      </c>
      <c r="R3" s="1">
        <v>27500</v>
      </c>
      <c r="S3" s="1">
        <v>31000</v>
      </c>
      <c r="T3" s="1">
        <v>34500</v>
      </c>
      <c r="U3" s="1">
        <v>31500</v>
      </c>
      <c r="V3" s="1">
        <v>41000</v>
      </c>
      <c r="W3" s="1">
        <v>32500</v>
      </c>
      <c r="X3" s="1">
        <v>28500</v>
      </c>
      <c r="Y3" s="1">
        <v>35500</v>
      </c>
      <c r="Z3" s="1">
        <v>30000</v>
      </c>
      <c r="AA3" s="1">
        <v>30500</v>
      </c>
      <c r="AB3" s="1">
        <v>27000</v>
      </c>
      <c r="AC3" s="1">
        <v>39500</v>
      </c>
      <c r="AD3" s="1">
        <v>33500</v>
      </c>
      <c r="AE3" s="1">
        <v>34000</v>
      </c>
    </row>
    <row r="4" spans="1:31">
      <c r="A4" s="4" t="s">
        <v>3</v>
      </c>
      <c r="B4" s="1">
        <v>3000</v>
      </c>
      <c r="C4" s="1">
        <v>5000</v>
      </c>
      <c r="D4" s="1">
        <v>2000</v>
      </c>
      <c r="E4" s="1">
        <v>4000</v>
      </c>
      <c r="F4" s="1">
        <v>3500</v>
      </c>
      <c r="G4" s="1">
        <v>2500</v>
      </c>
      <c r="H4" s="1">
        <v>3000</v>
      </c>
      <c r="I4" s="1">
        <v>6000</v>
      </c>
      <c r="J4" s="1">
        <v>1800</v>
      </c>
      <c r="K4" s="1">
        <v>2500</v>
      </c>
      <c r="L4" s="1">
        <v>7000</v>
      </c>
      <c r="M4" s="1">
        <v>3200</v>
      </c>
      <c r="N4" s="1">
        <v>2800</v>
      </c>
      <c r="O4" s="1">
        <v>4000</v>
      </c>
      <c r="P4" s="1">
        <v>7500</v>
      </c>
      <c r="Q4" s="1">
        <v>2100</v>
      </c>
      <c r="R4" s="1">
        <v>2200</v>
      </c>
      <c r="S4" s="1">
        <v>3500</v>
      </c>
      <c r="T4" s="1">
        <v>4500</v>
      </c>
      <c r="U4" s="1">
        <v>2900</v>
      </c>
      <c r="V4" s="1">
        <v>7000</v>
      </c>
      <c r="W4" s="1">
        <v>3000</v>
      </c>
      <c r="X4" s="1">
        <v>2600</v>
      </c>
      <c r="Y4" s="1">
        <v>4800</v>
      </c>
      <c r="Z4" s="1">
        <v>2500</v>
      </c>
      <c r="AA4" s="1">
        <v>3300</v>
      </c>
      <c r="AB4" s="1">
        <v>2200</v>
      </c>
      <c r="AC4" s="1">
        <v>6800</v>
      </c>
      <c r="AD4" s="1">
        <v>4200</v>
      </c>
      <c r="AE4" s="1">
        <v>4300</v>
      </c>
    </row>
    <row r="5" spans="1:31">
      <c r="A5" s="4" t="s">
        <v>4</v>
      </c>
      <c r="B5" s="2" t="s">
        <v>9</v>
      </c>
      <c r="C5" s="2" t="s">
        <v>13</v>
      </c>
      <c r="D5" s="2" t="s">
        <v>17</v>
      </c>
      <c r="E5" s="2" t="s">
        <v>21</v>
      </c>
      <c r="F5" s="2" t="s">
        <v>25</v>
      </c>
      <c r="G5" s="2" t="s">
        <v>28</v>
      </c>
      <c r="H5" s="2" t="s">
        <v>32</v>
      </c>
      <c r="I5" s="2" t="s">
        <v>35</v>
      </c>
      <c r="J5" s="2" t="s">
        <v>38</v>
      </c>
      <c r="K5" s="2" t="s">
        <v>41</v>
      </c>
      <c r="L5" s="2" t="s">
        <v>45</v>
      </c>
      <c r="M5" s="2" t="s">
        <v>48</v>
      </c>
      <c r="N5" s="2" t="s">
        <v>51</v>
      </c>
      <c r="O5" s="2" t="s">
        <v>54</v>
      </c>
      <c r="P5" s="2" t="s">
        <v>56</v>
      </c>
      <c r="Q5" s="2" t="s">
        <v>58</v>
      </c>
      <c r="R5" s="2" t="s">
        <v>60</v>
      </c>
      <c r="S5" s="2" t="s">
        <v>62</v>
      </c>
      <c r="T5" s="2" t="s">
        <v>65</v>
      </c>
      <c r="U5" s="2" t="s">
        <v>67</v>
      </c>
      <c r="V5" s="2" t="s">
        <v>69</v>
      </c>
      <c r="W5" s="2" t="s">
        <v>71</v>
      </c>
      <c r="X5" s="2" t="s">
        <v>73</v>
      </c>
      <c r="Y5" s="2" t="s">
        <v>75</v>
      </c>
      <c r="Z5" s="2" t="s">
        <v>77</v>
      </c>
      <c r="AA5" s="2" t="s">
        <v>79</v>
      </c>
      <c r="AB5" s="2" t="s">
        <v>81</v>
      </c>
      <c r="AC5" s="2" t="s">
        <v>83</v>
      </c>
      <c r="AD5" s="2" t="s">
        <v>85</v>
      </c>
      <c r="AE5" s="2" t="s">
        <v>87</v>
      </c>
    </row>
    <row r="6" spans="1:31">
      <c r="A6" s="4" t="s">
        <v>5</v>
      </c>
      <c r="B6" s="3">
        <v>44239</v>
      </c>
      <c r="C6" s="3">
        <v>44016</v>
      </c>
      <c r="D6" s="3">
        <v>44884</v>
      </c>
      <c r="E6" s="3">
        <v>44322</v>
      </c>
      <c r="F6" s="3">
        <v>44927</v>
      </c>
      <c r="G6" s="3">
        <v>44066</v>
      </c>
      <c r="H6" s="3">
        <v>44834</v>
      </c>
      <c r="I6" s="3">
        <v>44541</v>
      </c>
      <c r="J6" s="3">
        <v>45003</v>
      </c>
      <c r="K6" s="3">
        <v>44203</v>
      </c>
      <c r="L6" s="3">
        <v>44665</v>
      </c>
      <c r="M6" s="3">
        <v>44083</v>
      </c>
      <c r="N6" s="3">
        <v>44982</v>
      </c>
      <c r="O6" s="3">
        <v>44491</v>
      </c>
      <c r="P6" s="3">
        <v>43985</v>
      </c>
      <c r="Q6" s="3">
        <v>44590</v>
      </c>
      <c r="R6" s="3">
        <v>45143</v>
      </c>
      <c r="S6" s="3">
        <v>44512</v>
      </c>
      <c r="T6" s="3">
        <v>43900</v>
      </c>
      <c r="U6" s="3">
        <v>44897</v>
      </c>
      <c r="V6" s="3">
        <v>44405</v>
      </c>
      <c r="W6" s="3">
        <v>44083</v>
      </c>
      <c r="X6" s="3">
        <v>45032</v>
      </c>
      <c r="Y6" s="3">
        <v>44228</v>
      </c>
      <c r="Z6" s="3">
        <v>44878</v>
      </c>
      <c r="AA6" s="3">
        <v>44192</v>
      </c>
      <c r="AB6" s="3">
        <v>45054</v>
      </c>
      <c r="AC6" s="3">
        <v>44398</v>
      </c>
      <c r="AD6" s="3">
        <v>44565</v>
      </c>
      <c r="AE6" s="3">
        <v>43908</v>
      </c>
    </row>
    <row r="7" spans="1:31">
      <c r="A7" s="4" t="s">
        <v>6</v>
      </c>
      <c r="B7" s="1" t="s">
        <v>10</v>
      </c>
      <c r="C7" s="1" t="s">
        <v>14</v>
      </c>
      <c r="D7" s="1" t="s">
        <v>18</v>
      </c>
      <c r="E7" s="1" t="s">
        <v>22</v>
      </c>
      <c r="F7" s="1" t="s">
        <v>26</v>
      </c>
      <c r="G7" s="1" t="s">
        <v>29</v>
      </c>
      <c r="H7" s="1" t="s">
        <v>33</v>
      </c>
      <c r="I7" s="1" t="s">
        <v>36</v>
      </c>
      <c r="J7" s="1" t="s">
        <v>39</v>
      </c>
      <c r="K7" s="1" t="s">
        <v>42</v>
      </c>
      <c r="L7" s="1" t="s">
        <v>46</v>
      </c>
      <c r="M7" s="1" t="s">
        <v>49</v>
      </c>
      <c r="N7" s="1" t="s">
        <v>52</v>
      </c>
      <c r="O7" s="1" t="s">
        <v>18</v>
      </c>
      <c r="P7" s="1" t="s">
        <v>10</v>
      </c>
      <c r="Q7" s="1" t="s">
        <v>14</v>
      </c>
      <c r="R7" s="1" t="s">
        <v>10</v>
      </c>
      <c r="S7" s="1" t="s">
        <v>63</v>
      </c>
      <c r="T7" s="1" t="s">
        <v>22</v>
      </c>
      <c r="U7" s="1" t="s">
        <v>36</v>
      </c>
      <c r="V7" s="1" t="s">
        <v>33</v>
      </c>
      <c r="W7" s="1" t="s">
        <v>39</v>
      </c>
      <c r="X7" s="1" t="s">
        <v>63</v>
      </c>
      <c r="Y7" s="1" t="s">
        <v>52</v>
      </c>
      <c r="Z7" s="1" t="s">
        <v>29</v>
      </c>
      <c r="AA7" s="1" t="s">
        <v>46</v>
      </c>
      <c r="AB7" s="1" t="s">
        <v>18</v>
      </c>
      <c r="AC7" s="1" t="s">
        <v>10</v>
      </c>
      <c r="AD7" s="1" t="s">
        <v>22</v>
      </c>
      <c r="AE7" s="1" t="s">
        <v>14</v>
      </c>
    </row>
    <row r="9" spans="1:31">
      <c r="B9" s="7" t="s">
        <v>7</v>
      </c>
      <c r="D9">
        <f>HLOOKUP(B9,$B$1:$AE$7,3,0)</f>
        <v>28000</v>
      </c>
      <c r="E9" t="str">
        <f>CONCATENATE(B9," ","= ",D9)</f>
        <v>Rahul Kumar = 28000</v>
      </c>
    </row>
    <row r="10" spans="1:31">
      <c r="B10" s="7" t="s">
        <v>11</v>
      </c>
      <c r="D10">
        <f t="shared" ref="D10:D16" si="0">HLOOKUP(B10,$B$1:$AE$7,3,0)</f>
        <v>35000</v>
      </c>
      <c r="E10" t="str">
        <f t="shared" ref="E10:E16" si="1">CONCATENATE(B10," ","= ",D10)</f>
        <v>Ankita Sharma = 35000</v>
      </c>
    </row>
    <row r="11" spans="1:31">
      <c r="B11" s="7" t="s">
        <v>15</v>
      </c>
      <c r="D11">
        <f t="shared" si="0"/>
        <v>26000</v>
      </c>
      <c r="E11" t="str">
        <f t="shared" si="1"/>
        <v>Mohit Verma = 26000</v>
      </c>
    </row>
    <row r="12" spans="1:31">
      <c r="B12" s="7" t="s">
        <v>19</v>
      </c>
      <c r="D12">
        <f t="shared" si="0"/>
        <v>30000</v>
      </c>
      <c r="E12" t="str">
        <f t="shared" si="1"/>
        <v>Priya Singh = 30000</v>
      </c>
    </row>
    <row r="13" spans="1:31">
      <c r="B13" s="7" t="s">
        <v>23</v>
      </c>
      <c r="D13">
        <f t="shared" si="0"/>
        <v>32000</v>
      </c>
      <c r="E13" t="str">
        <f t="shared" si="1"/>
        <v>Sandeep Yadav = 32000</v>
      </c>
    </row>
    <row r="14" spans="1:31">
      <c r="B14" s="7" t="s">
        <v>27</v>
      </c>
      <c r="D14">
        <f t="shared" si="0"/>
        <v>27000</v>
      </c>
      <c r="E14" t="str">
        <f t="shared" si="1"/>
        <v>Riya Mehta = 27000</v>
      </c>
    </row>
    <row r="15" spans="1:31">
      <c r="B15" s="7" t="s">
        <v>30</v>
      </c>
      <c r="D15">
        <f t="shared" si="0"/>
        <v>31000</v>
      </c>
      <c r="E15" t="str">
        <f t="shared" si="1"/>
        <v>Amit Tiwari = 31000</v>
      </c>
    </row>
    <row r="16" spans="1:31">
      <c r="B16" s="7" t="s">
        <v>34</v>
      </c>
      <c r="D16">
        <f t="shared" si="0"/>
        <v>36000</v>
      </c>
      <c r="E16" t="str">
        <f t="shared" si="1"/>
        <v>Neha Kapoor = 36000</v>
      </c>
    </row>
  </sheetData>
  <hyperlinks>
    <hyperlink ref="B5" r:id="rId1" display="mailto:rahul.k@office.com"/>
    <hyperlink ref="C5" r:id="rId2" display="mailto:ankita.s@office.com"/>
    <hyperlink ref="D5" r:id="rId3" display="mailto:mohit.v@office.com"/>
    <hyperlink ref="E5" r:id="rId4" display="mailto:priya.s@office.com"/>
    <hyperlink ref="F5" r:id="rId5" display="mailto:sandeep.y@office.com"/>
    <hyperlink ref="G5" r:id="rId6" display="mailto:riya.m@office.com"/>
    <hyperlink ref="H5" r:id="rId7" display="mailto:amit.t@office.com"/>
    <hyperlink ref="I5" r:id="rId8" display="mailto:neha.k@office.com"/>
    <hyperlink ref="J5" r:id="rId9" display="mailto:arjun.r@office.com"/>
    <hyperlink ref="K5" r:id="rId10" display="mailto:divya.c@office.com"/>
    <hyperlink ref="L5" r:id="rId11" display="mailto:karan.p@office.com"/>
    <hyperlink ref="M5" r:id="rId12" display="mailto:sneha.j@office.com"/>
    <hyperlink ref="N5" r:id="rId13" display="mailto:rohit.m@office.com"/>
    <hyperlink ref="O5" r:id="rId14" display="mailto:megha.j@office.com"/>
    <hyperlink ref="P5" r:id="rId15" display="mailto:harshit.g@office.com"/>
    <hyperlink ref="Q5" r:id="rId16" display="mailto:pooja.s@office.com"/>
    <hyperlink ref="R5" r:id="rId17" display="mailto:varun.s@office.com"/>
    <hyperlink ref="S5" r:id="rId18" display="mailto:nikita.r@office.com"/>
    <hyperlink ref="T5" r:id="rId19" display="mailto:shivam.a@office.com"/>
    <hyperlink ref="U5" r:id="rId20" display="mailto:sonia.b@office.com"/>
    <hyperlink ref="V5" r:id="rId21" display="mailto:yash.t@office.com"/>
    <hyperlink ref="W5" r:id="rId22" display="mailto:payal.d@office.com"/>
    <hyperlink ref="X5" r:id="rId23" display="mailto:abhishek.r@office.com"/>
    <hyperlink ref="Y5" r:id="rId24" display="mailto:simran.k@office.com"/>
    <hyperlink ref="Z5" r:id="rId25" display="mailto:deepak.j@office.com"/>
    <hyperlink ref="AA5" r:id="rId26" display="mailto:shreya.s@office.com"/>
    <hyperlink ref="AB5" r:id="rId27" display="mailto:manish.k@office.com"/>
    <hyperlink ref="AC5" r:id="rId28" display="mailto:aarav.g@office.com"/>
    <hyperlink ref="AD5" r:id="rId29" display="mailto:tanya.v@office.com"/>
    <hyperlink ref="AE5" r:id="rId30" display="mailto:jay.m@office.com"/>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A25" sqref="A25"/>
    </sheetView>
  </sheetViews>
  <sheetFormatPr defaultRowHeight="13.8"/>
  <cols>
    <col min="1" max="1" width="13.09765625" customWidth="1"/>
    <col min="2" max="2" width="13.19921875" bestFit="1" customWidth="1"/>
  </cols>
  <sheetData>
    <row r="3" spans="1:2">
      <c r="A3" s="10" t="s">
        <v>125</v>
      </c>
      <c r="B3" t="s">
        <v>126</v>
      </c>
    </row>
    <row r="4" spans="1:2">
      <c r="A4" s="11" t="s">
        <v>46</v>
      </c>
      <c r="B4" s="12">
        <v>70500</v>
      </c>
    </row>
    <row r="5" spans="1:2">
      <c r="A5" s="11" t="s">
        <v>39</v>
      </c>
      <c r="B5" s="12">
        <v>58000</v>
      </c>
    </row>
    <row r="6" spans="1:2">
      <c r="A6" s="11" t="s">
        <v>52</v>
      </c>
      <c r="B6" s="12">
        <v>65000</v>
      </c>
    </row>
    <row r="7" spans="1:2">
      <c r="A7" s="11" t="s">
        <v>10</v>
      </c>
      <c r="B7" s="12">
        <v>137000</v>
      </c>
    </row>
    <row r="8" spans="1:2">
      <c r="A8" s="11" t="s">
        <v>63</v>
      </c>
      <c r="B8" s="12">
        <v>59500</v>
      </c>
    </row>
    <row r="9" spans="1:2">
      <c r="A9" s="11" t="s">
        <v>33</v>
      </c>
      <c r="B9" s="12">
        <v>72000</v>
      </c>
    </row>
    <row r="10" spans="1:2">
      <c r="A10" s="11" t="s">
        <v>18</v>
      </c>
      <c r="B10" s="12">
        <v>86000</v>
      </c>
    </row>
    <row r="11" spans="1:2">
      <c r="A11" s="11" t="s">
        <v>42</v>
      </c>
      <c r="B11" s="12">
        <v>29000</v>
      </c>
    </row>
    <row r="12" spans="1:2">
      <c r="A12" s="11" t="s">
        <v>29</v>
      </c>
      <c r="B12" s="12">
        <v>57000</v>
      </c>
    </row>
    <row r="13" spans="1:2">
      <c r="A13" s="11" t="s">
        <v>14</v>
      </c>
      <c r="B13" s="12">
        <v>95500</v>
      </c>
    </row>
    <row r="14" spans="1:2">
      <c r="A14" s="11" t="s">
        <v>49</v>
      </c>
      <c r="B14" s="12">
        <v>30500</v>
      </c>
    </row>
    <row r="15" spans="1:2">
      <c r="A15" s="11" t="s">
        <v>26</v>
      </c>
      <c r="B15" s="12">
        <v>32000</v>
      </c>
    </row>
    <row r="16" spans="1:2">
      <c r="A16" s="11" t="s">
        <v>22</v>
      </c>
      <c r="B16" s="12">
        <v>98000</v>
      </c>
    </row>
    <row r="17" spans="1:2">
      <c r="A17" s="11" t="s">
        <v>36</v>
      </c>
      <c r="B17" s="12">
        <v>67500</v>
      </c>
    </row>
    <row r="18" spans="1:2">
      <c r="A18" s="11" t="s">
        <v>127</v>
      </c>
      <c r="B18" s="12">
        <v>957500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D19" sqref="D19"/>
    </sheetView>
  </sheetViews>
  <sheetFormatPr defaultRowHeight="13.8"/>
  <cols>
    <col min="1" max="1" width="13.09765625" customWidth="1"/>
    <col min="2" max="2" width="13.19921875" customWidth="1"/>
    <col min="3" max="4" width="14" bestFit="1" customWidth="1"/>
  </cols>
  <sheetData>
    <row r="3" spans="1:3">
      <c r="A3" s="10" t="s">
        <v>125</v>
      </c>
      <c r="B3" t="s">
        <v>126</v>
      </c>
      <c r="C3" t="s">
        <v>128</v>
      </c>
    </row>
    <row r="4" spans="1:3">
      <c r="A4" s="11" t="s">
        <v>16</v>
      </c>
      <c r="B4" s="12">
        <v>105000</v>
      </c>
      <c r="C4" s="12">
        <v>4</v>
      </c>
    </row>
    <row r="5" spans="1:3">
      <c r="A5" s="11" t="s">
        <v>24</v>
      </c>
      <c r="B5" s="12">
        <v>131000</v>
      </c>
      <c r="C5" s="12">
        <v>4</v>
      </c>
    </row>
    <row r="6" spans="1:3">
      <c r="A6" s="11" t="s">
        <v>8</v>
      </c>
      <c r="B6" s="12">
        <v>140000</v>
      </c>
      <c r="C6" s="12">
        <v>5</v>
      </c>
    </row>
    <row r="7" spans="1:3">
      <c r="A7" s="11" t="s">
        <v>44</v>
      </c>
      <c r="B7" s="12">
        <v>162500</v>
      </c>
      <c r="C7" s="12">
        <v>4</v>
      </c>
    </row>
    <row r="8" spans="1:3">
      <c r="A8" s="11" t="s">
        <v>20</v>
      </c>
      <c r="B8" s="12">
        <v>121000</v>
      </c>
      <c r="C8" s="12">
        <v>4</v>
      </c>
    </row>
    <row r="9" spans="1:3">
      <c r="A9" s="11" t="s">
        <v>31</v>
      </c>
      <c r="B9" s="12">
        <v>123000</v>
      </c>
      <c r="C9" s="12">
        <v>4</v>
      </c>
    </row>
    <row r="10" spans="1:3">
      <c r="A10" s="11" t="s">
        <v>12</v>
      </c>
      <c r="B10" s="12">
        <v>175000</v>
      </c>
      <c r="C10" s="12">
        <v>5</v>
      </c>
    </row>
    <row r="11" spans="1:3">
      <c r="A11" s="11" t="s">
        <v>127</v>
      </c>
      <c r="B11" s="12">
        <v>957500</v>
      </c>
      <c r="C11" s="12">
        <v>30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zoomScale="85" zoomScaleNormal="85" workbookViewId="0">
      <selection activeCell="A2" sqref="A2:G31"/>
    </sheetView>
  </sheetViews>
  <sheetFormatPr defaultRowHeight="13.8"/>
  <cols>
    <col min="1" max="1" width="14.296875" bestFit="1" customWidth="1"/>
    <col min="2" max="2" width="11" bestFit="1" customWidth="1"/>
    <col min="3" max="3" width="6.19921875" bestFit="1" customWidth="1"/>
    <col min="4" max="4" width="6" bestFit="1" customWidth="1"/>
    <col min="5" max="5" width="20" bestFit="1" customWidth="1"/>
    <col min="6" max="6" width="10.8984375" bestFit="1" customWidth="1"/>
    <col min="7" max="7" width="10.69921875" customWidth="1"/>
  </cols>
  <sheetData>
    <row r="1" spans="1:7">
      <c r="A1" s="4" t="s">
        <v>0</v>
      </c>
      <c r="B1" s="4" t="s">
        <v>1</v>
      </c>
      <c r="C1" s="4" t="s">
        <v>2</v>
      </c>
      <c r="D1" s="4" t="s">
        <v>3</v>
      </c>
      <c r="E1" s="4" t="s">
        <v>4</v>
      </c>
      <c r="F1" s="4" t="s">
        <v>5</v>
      </c>
      <c r="G1" s="4" t="s">
        <v>6</v>
      </c>
    </row>
    <row r="2" spans="1:7">
      <c r="A2" s="1" t="s">
        <v>7</v>
      </c>
      <c r="B2" s="1" t="s">
        <v>8</v>
      </c>
      <c r="C2" s="1">
        <v>28000</v>
      </c>
      <c r="D2" s="1">
        <v>3000</v>
      </c>
      <c r="E2" s="2" t="s">
        <v>9</v>
      </c>
      <c r="F2" s="3">
        <v>44239</v>
      </c>
      <c r="G2" s="1" t="s">
        <v>10</v>
      </c>
    </row>
    <row r="3" spans="1:7">
      <c r="A3" s="1" t="s">
        <v>11</v>
      </c>
      <c r="B3" s="1" t="s">
        <v>12</v>
      </c>
      <c r="C3" s="1">
        <v>35000</v>
      </c>
      <c r="D3" s="1">
        <v>5000</v>
      </c>
      <c r="E3" s="2" t="s">
        <v>13</v>
      </c>
      <c r="F3" s="3">
        <v>44016</v>
      </c>
      <c r="G3" s="1" t="s">
        <v>14</v>
      </c>
    </row>
    <row r="4" spans="1:7">
      <c r="A4" s="1" t="s">
        <v>15</v>
      </c>
      <c r="B4" s="1" t="s">
        <v>16</v>
      </c>
      <c r="C4" s="1">
        <v>26000</v>
      </c>
      <c r="D4" s="1">
        <v>2000</v>
      </c>
      <c r="E4" s="2" t="s">
        <v>17</v>
      </c>
      <c r="F4" s="3">
        <v>44884</v>
      </c>
      <c r="G4" s="1" t="s">
        <v>18</v>
      </c>
    </row>
    <row r="5" spans="1:7">
      <c r="A5" s="1" t="s">
        <v>19</v>
      </c>
      <c r="B5" s="1" t="s">
        <v>20</v>
      </c>
      <c r="C5" s="1">
        <v>30000</v>
      </c>
      <c r="D5" s="1">
        <v>4000</v>
      </c>
      <c r="E5" s="2" t="s">
        <v>21</v>
      </c>
      <c r="F5" s="3">
        <v>44322</v>
      </c>
      <c r="G5" s="1" t="s">
        <v>22</v>
      </c>
    </row>
    <row r="6" spans="1:7">
      <c r="A6" s="1" t="s">
        <v>23</v>
      </c>
      <c r="B6" s="1" t="s">
        <v>24</v>
      </c>
      <c r="C6" s="1">
        <v>32000</v>
      </c>
      <c r="D6" s="1">
        <v>3500</v>
      </c>
      <c r="E6" s="2" t="s">
        <v>25</v>
      </c>
      <c r="F6" s="3">
        <v>44927</v>
      </c>
      <c r="G6" s="1" t="s">
        <v>26</v>
      </c>
    </row>
    <row r="7" spans="1:7">
      <c r="A7" s="1" t="s">
        <v>27</v>
      </c>
      <c r="B7" s="1" t="s">
        <v>8</v>
      </c>
      <c r="C7" s="1">
        <v>27000</v>
      </c>
      <c r="D7" s="1">
        <v>2500</v>
      </c>
      <c r="E7" s="2" t="s">
        <v>28</v>
      </c>
      <c r="F7" s="3">
        <v>44066</v>
      </c>
      <c r="G7" s="1" t="s">
        <v>29</v>
      </c>
    </row>
    <row r="8" spans="1:7">
      <c r="A8" s="1" t="s">
        <v>30</v>
      </c>
      <c r="B8" s="1" t="s">
        <v>31</v>
      </c>
      <c r="C8" s="1">
        <v>31000</v>
      </c>
      <c r="D8" s="1">
        <v>3000</v>
      </c>
      <c r="E8" s="2" t="s">
        <v>32</v>
      </c>
      <c r="F8" s="3">
        <v>44834</v>
      </c>
      <c r="G8" s="1" t="s">
        <v>33</v>
      </c>
    </row>
    <row r="9" spans="1:7">
      <c r="A9" s="1" t="s">
        <v>34</v>
      </c>
      <c r="B9" s="1" t="s">
        <v>12</v>
      </c>
      <c r="C9" s="1">
        <v>36000</v>
      </c>
      <c r="D9" s="1">
        <v>6000</v>
      </c>
      <c r="E9" s="2" t="s">
        <v>35</v>
      </c>
      <c r="F9" s="3">
        <v>44541</v>
      </c>
      <c r="G9" s="1" t="s">
        <v>36</v>
      </c>
    </row>
    <row r="10" spans="1:7">
      <c r="A10" s="1" t="s">
        <v>37</v>
      </c>
      <c r="B10" s="1" t="s">
        <v>16</v>
      </c>
      <c r="C10" s="1">
        <v>25500</v>
      </c>
      <c r="D10" s="1">
        <v>1800</v>
      </c>
      <c r="E10" s="2" t="s">
        <v>38</v>
      </c>
      <c r="F10" s="3">
        <v>45003</v>
      </c>
      <c r="G10" s="1" t="s">
        <v>39</v>
      </c>
    </row>
    <row r="11" spans="1:7">
      <c r="A11" s="1" t="s">
        <v>40</v>
      </c>
      <c r="B11" s="1" t="s">
        <v>8</v>
      </c>
      <c r="C11" s="1">
        <v>29000</v>
      </c>
      <c r="D11" s="1">
        <v>2500</v>
      </c>
      <c r="E11" s="2" t="s">
        <v>41</v>
      </c>
      <c r="F11" s="3">
        <v>44203</v>
      </c>
      <c r="G11" s="1" t="s">
        <v>42</v>
      </c>
    </row>
    <row r="12" spans="1:7">
      <c r="A12" s="1" t="s">
        <v>43</v>
      </c>
      <c r="B12" s="1" t="s">
        <v>44</v>
      </c>
      <c r="C12" s="1">
        <v>40000</v>
      </c>
      <c r="D12" s="1">
        <v>7000</v>
      </c>
      <c r="E12" s="2" t="s">
        <v>45</v>
      </c>
      <c r="F12" s="3">
        <v>44665</v>
      </c>
      <c r="G12" s="1" t="s">
        <v>46</v>
      </c>
    </row>
    <row r="13" spans="1:7">
      <c r="A13" s="1" t="s">
        <v>47</v>
      </c>
      <c r="B13" s="1" t="s">
        <v>31</v>
      </c>
      <c r="C13" s="1">
        <v>30500</v>
      </c>
      <c r="D13" s="1">
        <v>3200</v>
      </c>
      <c r="E13" s="2" t="s">
        <v>48</v>
      </c>
      <c r="F13" s="3">
        <v>44083</v>
      </c>
      <c r="G13" s="1" t="s">
        <v>49</v>
      </c>
    </row>
    <row r="14" spans="1:7">
      <c r="A14" s="1" t="s">
        <v>50</v>
      </c>
      <c r="B14" s="1" t="s">
        <v>20</v>
      </c>
      <c r="C14" s="1">
        <v>29500</v>
      </c>
      <c r="D14" s="1">
        <v>2800</v>
      </c>
      <c r="E14" s="2" t="s">
        <v>51</v>
      </c>
      <c r="F14" s="3">
        <v>44982</v>
      </c>
      <c r="G14" s="1" t="s">
        <v>52</v>
      </c>
    </row>
    <row r="15" spans="1:7">
      <c r="A15" s="1" t="s">
        <v>53</v>
      </c>
      <c r="B15" s="1" t="s">
        <v>24</v>
      </c>
      <c r="C15" s="1">
        <v>33000</v>
      </c>
      <c r="D15" s="1">
        <v>4000</v>
      </c>
      <c r="E15" s="2" t="s">
        <v>54</v>
      </c>
      <c r="F15" s="3">
        <v>44491</v>
      </c>
      <c r="G15" s="1" t="s">
        <v>18</v>
      </c>
    </row>
    <row r="16" spans="1:7">
      <c r="A16" s="1" t="s">
        <v>55</v>
      </c>
      <c r="B16" s="1" t="s">
        <v>44</v>
      </c>
      <c r="C16" s="1">
        <v>42000</v>
      </c>
      <c r="D16" s="1">
        <v>7500</v>
      </c>
      <c r="E16" s="2" t="s">
        <v>56</v>
      </c>
      <c r="F16" s="3">
        <v>43985</v>
      </c>
      <c r="G16" s="1" t="s">
        <v>10</v>
      </c>
    </row>
    <row r="17" spans="1:7">
      <c r="A17" s="1" t="s">
        <v>57</v>
      </c>
      <c r="B17" s="1" t="s">
        <v>16</v>
      </c>
      <c r="C17" s="1">
        <v>26500</v>
      </c>
      <c r="D17" s="1">
        <v>2100</v>
      </c>
      <c r="E17" s="2" t="s">
        <v>58</v>
      </c>
      <c r="F17" s="3">
        <v>44590</v>
      </c>
      <c r="G17" s="1" t="s">
        <v>14</v>
      </c>
    </row>
    <row r="18" spans="1:7">
      <c r="A18" s="1" t="s">
        <v>59</v>
      </c>
      <c r="B18" s="1" t="s">
        <v>8</v>
      </c>
      <c r="C18" s="1">
        <v>27500</v>
      </c>
      <c r="D18" s="1">
        <v>2200</v>
      </c>
      <c r="E18" s="2" t="s">
        <v>60</v>
      </c>
      <c r="F18" s="3">
        <v>45143</v>
      </c>
      <c r="G18" s="1" t="s">
        <v>10</v>
      </c>
    </row>
    <row r="19" spans="1:7">
      <c r="A19" s="1" t="s">
        <v>61</v>
      </c>
      <c r="B19" s="1" t="s">
        <v>20</v>
      </c>
      <c r="C19" s="1">
        <v>31000</v>
      </c>
      <c r="D19" s="1">
        <v>3500</v>
      </c>
      <c r="E19" s="2" t="s">
        <v>62</v>
      </c>
      <c r="F19" s="3">
        <v>44512</v>
      </c>
      <c r="G19" s="1" t="s">
        <v>63</v>
      </c>
    </row>
    <row r="20" spans="1:7">
      <c r="A20" s="1" t="s">
        <v>64</v>
      </c>
      <c r="B20" s="1" t="s">
        <v>12</v>
      </c>
      <c r="C20" s="1">
        <v>34500</v>
      </c>
      <c r="D20" s="1">
        <v>4500</v>
      </c>
      <c r="E20" s="2" t="s">
        <v>65</v>
      </c>
      <c r="F20" s="3">
        <v>43900</v>
      </c>
      <c r="G20" s="1" t="s">
        <v>22</v>
      </c>
    </row>
    <row r="21" spans="1:7">
      <c r="A21" s="1" t="s">
        <v>66</v>
      </c>
      <c r="B21" s="1" t="s">
        <v>31</v>
      </c>
      <c r="C21" s="1">
        <v>31500</v>
      </c>
      <c r="D21" s="1">
        <v>2900</v>
      </c>
      <c r="E21" s="2" t="s">
        <v>67</v>
      </c>
      <c r="F21" s="3">
        <v>44897</v>
      </c>
      <c r="G21" s="1" t="s">
        <v>36</v>
      </c>
    </row>
    <row r="22" spans="1:7">
      <c r="A22" s="1" t="s">
        <v>68</v>
      </c>
      <c r="B22" s="1" t="s">
        <v>44</v>
      </c>
      <c r="C22" s="1">
        <v>41000</v>
      </c>
      <c r="D22" s="1">
        <v>7000</v>
      </c>
      <c r="E22" s="2" t="s">
        <v>69</v>
      </c>
      <c r="F22" s="3">
        <v>44405</v>
      </c>
      <c r="G22" s="1" t="s">
        <v>33</v>
      </c>
    </row>
    <row r="23" spans="1:7">
      <c r="A23" s="1" t="s">
        <v>70</v>
      </c>
      <c r="B23" s="1" t="s">
        <v>24</v>
      </c>
      <c r="C23" s="1">
        <v>32500</v>
      </c>
      <c r="D23" s="1">
        <v>3000</v>
      </c>
      <c r="E23" s="2" t="s">
        <v>71</v>
      </c>
      <c r="F23" s="3">
        <v>44083</v>
      </c>
      <c r="G23" s="1" t="s">
        <v>39</v>
      </c>
    </row>
    <row r="24" spans="1:7">
      <c r="A24" s="1" t="s">
        <v>72</v>
      </c>
      <c r="B24" s="1" t="s">
        <v>8</v>
      </c>
      <c r="C24" s="1">
        <v>28500</v>
      </c>
      <c r="D24" s="1">
        <v>2600</v>
      </c>
      <c r="E24" s="2" t="s">
        <v>73</v>
      </c>
      <c r="F24" s="3">
        <v>45032</v>
      </c>
      <c r="G24" s="1" t="s">
        <v>63</v>
      </c>
    </row>
    <row r="25" spans="1:7">
      <c r="A25" s="1" t="s">
        <v>74</v>
      </c>
      <c r="B25" s="1" t="s">
        <v>12</v>
      </c>
      <c r="C25" s="1">
        <v>35500</v>
      </c>
      <c r="D25" s="1">
        <v>4800</v>
      </c>
      <c r="E25" s="2" t="s">
        <v>75</v>
      </c>
      <c r="F25" s="3">
        <v>44228</v>
      </c>
      <c r="G25" s="1" t="s">
        <v>52</v>
      </c>
    </row>
    <row r="26" spans="1:7">
      <c r="A26" s="1" t="s">
        <v>76</v>
      </c>
      <c r="B26" s="1" t="s">
        <v>31</v>
      </c>
      <c r="C26" s="1">
        <v>30000</v>
      </c>
      <c r="D26" s="1">
        <v>2500</v>
      </c>
      <c r="E26" s="2" t="s">
        <v>77</v>
      </c>
      <c r="F26" s="3">
        <v>44878</v>
      </c>
      <c r="G26" s="1" t="s">
        <v>29</v>
      </c>
    </row>
    <row r="27" spans="1:7">
      <c r="A27" s="1" t="s">
        <v>78</v>
      </c>
      <c r="B27" s="1" t="s">
        <v>20</v>
      </c>
      <c r="C27" s="1">
        <v>30500</v>
      </c>
      <c r="D27" s="1">
        <v>3300</v>
      </c>
      <c r="E27" s="2" t="s">
        <v>79</v>
      </c>
      <c r="F27" s="3">
        <v>44192</v>
      </c>
      <c r="G27" s="1" t="s">
        <v>46</v>
      </c>
    </row>
    <row r="28" spans="1:7">
      <c r="A28" s="1" t="s">
        <v>80</v>
      </c>
      <c r="B28" s="1" t="s">
        <v>16</v>
      </c>
      <c r="C28" s="1">
        <v>27000</v>
      </c>
      <c r="D28" s="1">
        <v>2200</v>
      </c>
      <c r="E28" s="2" t="s">
        <v>81</v>
      </c>
      <c r="F28" s="3">
        <v>45054</v>
      </c>
      <c r="G28" s="1" t="s">
        <v>18</v>
      </c>
    </row>
    <row r="29" spans="1:7">
      <c r="A29" s="1" t="s">
        <v>82</v>
      </c>
      <c r="B29" s="1" t="s">
        <v>44</v>
      </c>
      <c r="C29" s="1">
        <v>39500</v>
      </c>
      <c r="D29" s="1">
        <v>6800</v>
      </c>
      <c r="E29" s="2" t="s">
        <v>83</v>
      </c>
      <c r="F29" s="3">
        <v>44398</v>
      </c>
      <c r="G29" s="1" t="s">
        <v>10</v>
      </c>
    </row>
    <row r="30" spans="1:7">
      <c r="A30" s="1" t="s">
        <v>84</v>
      </c>
      <c r="B30" s="1" t="s">
        <v>24</v>
      </c>
      <c r="C30" s="1">
        <v>33500</v>
      </c>
      <c r="D30" s="1">
        <v>4200</v>
      </c>
      <c r="E30" s="2" t="s">
        <v>85</v>
      </c>
      <c r="F30" s="3">
        <v>44565</v>
      </c>
      <c r="G30" s="1" t="s">
        <v>22</v>
      </c>
    </row>
    <row r="31" spans="1:7">
      <c r="A31" s="1" t="s">
        <v>86</v>
      </c>
      <c r="B31" s="1" t="s">
        <v>12</v>
      </c>
      <c r="C31" s="1">
        <v>34000</v>
      </c>
      <c r="D31" s="1">
        <v>4300</v>
      </c>
      <c r="E31" s="2" t="s">
        <v>87</v>
      </c>
      <c r="F31" s="3">
        <v>43908</v>
      </c>
      <c r="G31" s="1" t="s">
        <v>14</v>
      </c>
    </row>
  </sheetData>
  <hyperlinks>
    <hyperlink ref="E2" r:id="rId1" display="mailto:rahul.k@office.com"/>
    <hyperlink ref="E3" r:id="rId2" display="mailto:ankita.s@office.com"/>
    <hyperlink ref="E4" r:id="rId3" display="mailto:mohit.v@office.com"/>
    <hyperlink ref="E5" r:id="rId4" display="mailto:priya.s@office.com"/>
    <hyperlink ref="E6" r:id="rId5" display="mailto:sandeep.y@office.com"/>
    <hyperlink ref="E7" r:id="rId6" display="mailto:riya.m@office.com"/>
    <hyperlink ref="E8" r:id="rId7" display="mailto:amit.t@office.com"/>
    <hyperlink ref="E9" r:id="rId8" display="mailto:neha.k@office.com"/>
    <hyperlink ref="E10" r:id="rId9" display="mailto:arjun.r@office.com"/>
    <hyperlink ref="E11" r:id="rId10" display="mailto:divya.c@office.com"/>
    <hyperlink ref="E12" r:id="rId11" display="mailto:karan.p@office.com"/>
    <hyperlink ref="E13" r:id="rId12" display="mailto:sneha.j@office.com"/>
    <hyperlink ref="E14" r:id="rId13" display="mailto:rohit.m@office.com"/>
    <hyperlink ref="E15" r:id="rId14" display="mailto:megha.j@office.com"/>
    <hyperlink ref="E16" r:id="rId15" display="mailto:harshit.g@office.com"/>
    <hyperlink ref="E17" r:id="rId16" display="mailto:pooja.s@office.com"/>
    <hyperlink ref="E18" r:id="rId17" display="mailto:varun.s@office.com"/>
    <hyperlink ref="E19" r:id="rId18" display="mailto:nikita.r@office.com"/>
    <hyperlink ref="E20" r:id="rId19" display="mailto:shivam.a@office.com"/>
    <hyperlink ref="E21" r:id="rId20" display="mailto:sonia.b@office.com"/>
    <hyperlink ref="E22" r:id="rId21" display="mailto:yash.t@office.com"/>
    <hyperlink ref="E23" r:id="rId22" display="mailto:payal.d@office.com"/>
    <hyperlink ref="E24" r:id="rId23" display="mailto:abhishek.r@office.com"/>
    <hyperlink ref="E25" r:id="rId24" display="mailto:simran.k@office.com"/>
    <hyperlink ref="E26" r:id="rId25" display="mailto:deepak.j@office.com"/>
    <hyperlink ref="E27" r:id="rId26" display="mailto:shreya.s@office.com"/>
    <hyperlink ref="E28" r:id="rId27" display="mailto:manish.k@office.com"/>
    <hyperlink ref="E29" r:id="rId28" display="mailto:aarav.g@office.com"/>
    <hyperlink ref="E30" r:id="rId29" display="mailto:tanya.v@office.com"/>
    <hyperlink ref="E31" r:id="rId30" display="mailto:jay.m@office.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Basics</vt:lpstr>
      <vt:lpstr>Advance Excel</vt:lpstr>
      <vt:lpstr>Vlookup Diffrent Sheet</vt:lpstr>
      <vt:lpstr>Vlookup To Handle Error</vt:lpstr>
      <vt:lpstr>Xlookup</vt:lpstr>
      <vt:lpstr>Filter</vt:lpstr>
      <vt:lpstr>Sheet1</vt:lpstr>
      <vt:lpstr>Sheet3</vt:lpstr>
      <vt:lpstr>Sheet4</vt:lpstr>
      <vt:lpstr>Pivot Table and DashBoard</vt:lpstr>
      <vt:lpstr>chetan</vt:lpstr>
      <vt:lpstr>trialnerror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Lola Vita</dc:creator>
  <cp:lastModifiedBy>Vishwa Thakkar</cp:lastModifiedBy>
  <dcterms:created xsi:type="dcterms:W3CDTF">2025-12-07T04:49:05Z</dcterms:created>
  <dcterms:modified xsi:type="dcterms:W3CDTF">2026-01-04T08:46:48Z</dcterms:modified>
</cp:coreProperties>
</file>